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ui_a\OneDrive\Área de Trabalho\projeto_planilhar_df\assets\"/>
    </mc:Choice>
  </mc:AlternateContent>
  <xr:revisionPtr revIDLastSave="0" documentId="13_ncr:1_{0A252A26-BF5D-4DCD-85D2-4641724219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_1" sheetId="1" r:id="rId1"/>
    <sheet name="EMP_2" sheetId="2" r:id="rId2"/>
    <sheet name="CONSOLIDADO" sheetId="4" r:id="rId3"/>
    <sheet name="HIGHLIGH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7" i="2" l="1"/>
  <c r="G167" i="2"/>
  <c r="E167" i="2"/>
  <c r="C167" i="2"/>
  <c r="I166" i="2"/>
  <c r="G166" i="2"/>
  <c r="E166" i="2"/>
  <c r="C166" i="2"/>
  <c r="I165" i="2"/>
  <c r="G165" i="2"/>
  <c r="E165" i="2"/>
  <c r="C165" i="2"/>
  <c r="I151" i="2"/>
  <c r="G151" i="2"/>
  <c r="E151" i="2"/>
  <c r="C151" i="2"/>
  <c r="I150" i="2"/>
  <c r="G150" i="2"/>
  <c r="E150" i="2"/>
  <c r="C150" i="2"/>
  <c r="I149" i="2"/>
  <c r="G149" i="2"/>
  <c r="E149" i="2"/>
  <c r="C149" i="2"/>
  <c r="I147" i="2"/>
  <c r="G147" i="2"/>
  <c r="E147" i="2"/>
  <c r="C147" i="2"/>
  <c r="I146" i="2"/>
  <c r="G146" i="2"/>
  <c r="E146" i="2"/>
  <c r="C146" i="2"/>
  <c r="I125" i="2"/>
  <c r="G125" i="2"/>
  <c r="E125" i="2"/>
  <c r="C125" i="2"/>
  <c r="I120" i="2"/>
  <c r="G120" i="2"/>
  <c r="E120" i="2"/>
  <c r="C120" i="2"/>
  <c r="I114" i="2"/>
  <c r="G114" i="2"/>
  <c r="E114" i="2"/>
  <c r="C114" i="2"/>
  <c r="J113" i="2"/>
  <c r="I113" i="2"/>
  <c r="H113" i="2"/>
  <c r="G113" i="2"/>
  <c r="F113" i="2"/>
  <c r="E113" i="2"/>
  <c r="D113" i="2"/>
  <c r="C113" i="2"/>
  <c r="J112" i="2"/>
  <c r="H112" i="2"/>
  <c r="F112" i="2"/>
  <c r="D112" i="2"/>
  <c r="J111" i="2"/>
  <c r="H111" i="2"/>
  <c r="F111" i="2"/>
  <c r="D111" i="2"/>
  <c r="J104" i="2"/>
  <c r="H104" i="2"/>
  <c r="F104" i="2"/>
  <c r="D104" i="2"/>
  <c r="J103" i="2"/>
  <c r="H103" i="2"/>
  <c r="F103" i="2"/>
  <c r="D103" i="2"/>
  <c r="J102" i="2"/>
  <c r="H102" i="2"/>
  <c r="F102" i="2"/>
  <c r="D102" i="2"/>
  <c r="J101" i="2"/>
  <c r="H101" i="2"/>
  <c r="F101" i="2"/>
  <c r="D101" i="2"/>
  <c r="J99" i="2"/>
  <c r="H99" i="2"/>
  <c r="F99" i="2"/>
  <c r="D99" i="2"/>
  <c r="J97" i="2"/>
  <c r="H97" i="2"/>
  <c r="F97" i="2"/>
  <c r="D97" i="2"/>
  <c r="J95" i="2"/>
  <c r="H95" i="2"/>
  <c r="F95" i="2"/>
  <c r="D95" i="2"/>
  <c r="J94" i="2"/>
  <c r="H94" i="2"/>
  <c r="F94" i="2"/>
  <c r="D94" i="2"/>
  <c r="J93" i="2"/>
  <c r="H93" i="2"/>
  <c r="F93" i="2"/>
  <c r="D93" i="2"/>
  <c r="J92" i="2"/>
  <c r="H92" i="2"/>
  <c r="F92" i="2"/>
  <c r="D92" i="2"/>
  <c r="J91" i="2"/>
  <c r="H91" i="2"/>
  <c r="F91" i="2"/>
  <c r="D91" i="2"/>
  <c r="J90" i="2"/>
  <c r="H90" i="2"/>
  <c r="F90" i="2"/>
  <c r="D90" i="2"/>
  <c r="J89" i="2"/>
  <c r="H89" i="2"/>
  <c r="F89" i="2"/>
  <c r="D89" i="2"/>
  <c r="J88" i="2"/>
  <c r="H88" i="2"/>
  <c r="F88" i="2"/>
  <c r="D88" i="2"/>
  <c r="J87" i="2"/>
  <c r="H87" i="2"/>
  <c r="F87" i="2"/>
  <c r="D87" i="2"/>
  <c r="J86" i="2"/>
  <c r="H86" i="2"/>
  <c r="F86" i="2"/>
  <c r="D86" i="2"/>
  <c r="J85" i="2"/>
  <c r="H85" i="2"/>
  <c r="F85" i="2"/>
  <c r="D85" i="2"/>
  <c r="J84" i="2"/>
  <c r="H84" i="2"/>
  <c r="F84" i="2"/>
  <c r="D84" i="2"/>
  <c r="J83" i="2"/>
  <c r="H83" i="2"/>
  <c r="F83" i="2"/>
  <c r="D83" i="2"/>
  <c r="J82" i="2"/>
  <c r="H82" i="2"/>
  <c r="F82" i="2"/>
  <c r="D82" i="2"/>
  <c r="J81" i="2"/>
  <c r="H81" i="2"/>
  <c r="F81" i="2"/>
  <c r="D81" i="2"/>
  <c r="J80" i="2"/>
  <c r="H80" i="2"/>
  <c r="F80" i="2"/>
  <c r="D80" i="2"/>
  <c r="J79" i="2"/>
  <c r="I79" i="2"/>
  <c r="H79" i="2"/>
  <c r="G79" i="2"/>
  <c r="F79" i="2"/>
  <c r="E79" i="2"/>
  <c r="D79" i="2"/>
  <c r="C79" i="2"/>
  <c r="J77" i="2"/>
  <c r="H77" i="2"/>
  <c r="F77" i="2"/>
  <c r="D77" i="2"/>
  <c r="J76" i="2"/>
  <c r="H76" i="2"/>
  <c r="F76" i="2"/>
  <c r="D76" i="2"/>
  <c r="J75" i="2"/>
  <c r="H75" i="2"/>
  <c r="F75" i="2"/>
  <c r="D75" i="2"/>
  <c r="J74" i="2"/>
  <c r="H74" i="2"/>
  <c r="F74" i="2"/>
  <c r="D74" i="2"/>
  <c r="J73" i="2"/>
  <c r="H73" i="2"/>
  <c r="F73" i="2"/>
  <c r="D73" i="2"/>
  <c r="J72" i="2"/>
  <c r="H72" i="2"/>
  <c r="F72" i="2"/>
  <c r="D72" i="2"/>
  <c r="J71" i="2"/>
  <c r="H71" i="2"/>
  <c r="F71" i="2"/>
  <c r="D71" i="2"/>
  <c r="J70" i="2"/>
  <c r="H70" i="2"/>
  <c r="F70" i="2"/>
  <c r="D70" i="2"/>
  <c r="J69" i="2"/>
  <c r="H69" i="2"/>
  <c r="F69" i="2"/>
  <c r="D69" i="2"/>
  <c r="J68" i="2"/>
  <c r="H68" i="2"/>
  <c r="F68" i="2"/>
  <c r="D68" i="2"/>
  <c r="J67" i="2"/>
  <c r="H67" i="2"/>
  <c r="F67" i="2"/>
  <c r="D67" i="2"/>
  <c r="J66" i="2"/>
  <c r="H66" i="2"/>
  <c r="F66" i="2"/>
  <c r="D66" i="2"/>
  <c r="J65" i="2"/>
  <c r="H65" i="2"/>
  <c r="F65" i="2"/>
  <c r="D65" i="2"/>
  <c r="J64" i="2"/>
  <c r="H64" i="2"/>
  <c r="F64" i="2"/>
  <c r="D64" i="2"/>
  <c r="J63" i="2"/>
  <c r="H63" i="2"/>
  <c r="F63" i="2"/>
  <c r="D63" i="2"/>
  <c r="J62" i="2"/>
  <c r="H62" i="2"/>
  <c r="F62" i="2"/>
  <c r="D62" i="2"/>
  <c r="J61" i="2"/>
  <c r="H61" i="2"/>
  <c r="F61" i="2"/>
  <c r="D61" i="2"/>
  <c r="J60" i="2"/>
  <c r="H60" i="2"/>
  <c r="F60" i="2"/>
  <c r="D60" i="2"/>
  <c r="J59" i="2"/>
  <c r="H59" i="2"/>
  <c r="F59" i="2"/>
  <c r="D59" i="2"/>
  <c r="J58" i="2"/>
  <c r="H58" i="2"/>
  <c r="F58" i="2"/>
  <c r="D58" i="2"/>
  <c r="J57" i="2"/>
  <c r="H57" i="2"/>
  <c r="F57" i="2"/>
  <c r="D57" i="2"/>
  <c r="J56" i="2"/>
  <c r="H56" i="2"/>
  <c r="F56" i="2"/>
  <c r="D56" i="2"/>
  <c r="J55" i="2"/>
  <c r="H55" i="2"/>
  <c r="F55" i="2"/>
  <c r="D55" i="2"/>
  <c r="J54" i="2"/>
  <c r="H54" i="2"/>
  <c r="F54" i="2"/>
  <c r="D54" i="2"/>
  <c r="J53" i="2"/>
  <c r="H53" i="2"/>
  <c r="F53" i="2"/>
  <c r="D53" i="2"/>
  <c r="J52" i="2"/>
  <c r="H52" i="2"/>
  <c r="F52" i="2"/>
  <c r="D52" i="2"/>
  <c r="J51" i="2"/>
  <c r="I51" i="2"/>
  <c r="H51" i="2"/>
  <c r="G51" i="2"/>
  <c r="F51" i="2"/>
  <c r="E51" i="2"/>
  <c r="D51" i="2"/>
  <c r="C51" i="2"/>
  <c r="J47" i="2"/>
  <c r="H47" i="2"/>
  <c r="F47" i="2"/>
  <c r="D47" i="2"/>
  <c r="J45" i="2"/>
  <c r="H45" i="2"/>
  <c r="F45" i="2"/>
  <c r="D45" i="2"/>
  <c r="J44" i="2"/>
  <c r="H44" i="2"/>
  <c r="F44" i="2"/>
  <c r="D44" i="2"/>
  <c r="J43" i="2"/>
  <c r="H43" i="2"/>
  <c r="F43" i="2"/>
  <c r="D43" i="2"/>
  <c r="J42" i="2"/>
  <c r="I42" i="2"/>
  <c r="H42" i="2"/>
  <c r="G42" i="2"/>
  <c r="F42" i="2"/>
  <c r="E42" i="2"/>
  <c r="D42" i="2"/>
  <c r="C42" i="2"/>
  <c r="J40" i="2"/>
  <c r="H40" i="2"/>
  <c r="F40" i="2"/>
  <c r="D40" i="2"/>
  <c r="J39" i="2"/>
  <c r="H39" i="2"/>
  <c r="F39" i="2"/>
  <c r="D39" i="2"/>
  <c r="J38" i="2"/>
  <c r="H38" i="2"/>
  <c r="F38" i="2"/>
  <c r="D38" i="2"/>
  <c r="J37" i="2"/>
  <c r="H37" i="2"/>
  <c r="F37" i="2"/>
  <c r="D37" i="2"/>
  <c r="J36" i="2"/>
  <c r="H36" i="2"/>
  <c r="F36" i="2"/>
  <c r="D36" i="2"/>
  <c r="J35" i="2"/>
  <c r="H35" i="2"/>
  <c r="F35" i="2"/>
  <c r="D35" i="2"/>
  <c r="J34" i="2"/>
  <c r="H34" i="2"/>
  <c r="F34" i="2"/>
  <c r="D34" i="2"/>
  <c r="J33" i="2"/>
  <c r="H33" i="2"/>
  <c r="F33" i="2"/>
  <c r="D33" i="2"/>
  <c r="J32" i="2"/>
  <c r="H32" i="2"/>
  <c r="F32" i="2"/>
  <c r="D32" i="2"/>
  <c r="J31" i="2"/>
  <c r="H31" i="2"/>
  <c r="F31" i="2"/>
  <c r="D31" i="2"/>
  <c r="J30" i="2"/>
  <c r="H30" i="2"/>
  <c r="F30" i="2"/>
  <c r="D30" i="2"/>
  <c r="J29" i="2"/>
  <c r="I29" i="2"/>
  <c r="H29" i="2"/>
  <c r="G29" i="2"/>
  <c r="F29" i="2"/>
  <c r="E29" i="2"/>
  <c r="D29" i="2"/>
  <c r="C29" i="2"/>
  <c r="J27" i="2"/>
  <c r="H27" i="2"/>
  <c r="F27" i="2"/>
  <c r="D27" i="2"/>
  <c r="J26" i="2"/>
  <c r="H26" i="2"/>
  <c r="F26" i="2"/>
  <c r="D26" i="2"/>
  <c r="J25" i="2"/>
  <c r="H25" i="2"/>
  <c r="F25" i="2"/>
  <c r="D25" i="2"/>
  <c r="J24" i="2"/>
  <c r="H24" i="2"/>
  <c r="F24" i="2"/>
  <c r="D24" i="2"/>
  <c r="J23" i="2"/>
  <c r="H23" i="2"/>
  <c r="F23" i="2"/>
  <c r="D23" i="2"/>
  <c r="J22" i="2"/>
  <c r="H22" i="2"/>
  <c r="F22" i="2"/>
  <c r="D22" i="2"/>
  <c r="J21" i="2"/>
  <c r="H21" i="2"/>
  <c r="F21" i="2"/>
  <c r="D21" i="2"/>
  <c r="J20" i="2"/>
  <c r="H20" i="2"/>
  <c r="F20" i="2"/>
  <c r="D20" i="2"/>
  <c r="J19" i="2"/>
  <c r="H19" i="2"/>
  <c r="F19" i="2"/>
  <c r="D19" i="2"/>
  <c r="J18" i="2"/>
  <c r="H18" i="2"/>
  <c r="F18" i="2"/>
  <c r="D18" i="2"/>
  <c r="J17" i="2"/>
  <c r="H17" i="2"/>
  <c r="F17" i="2"/>
  <c r="D17" i="2"/>
  <c r="J16" i="2"/>
  <c r="H16" i="2"/>
  <c r="F16" i="2"/>
  <c r="D16" i="2"/>
  <c r="J15" i="2"/>
  <c r="H15" i="2"/>
  <c r="F15" i="2"/>
  <c r="D15" i="2"/>
  <c r="J14" i="2"/>
  <c r="H14" i="2"/>
  <c r="F14" i="2"/>
  <c r="D14" i="2"/>
  <c r="J13" i="2"/>
  <c r="H13" i="2"/>
  <c r="F13" i="2"/>
  <c r="D13" i="2"/>
  <c r="J12" i="2"/>
  <c r="H12" i="2"/>
  <c r="F12" i="2"/>
  <c r="D12" i="2"/>
  <c r="J11" i="2"/>
  <c r="I11" i="2"/>
  <c r="H11" i="2"/>
  <c r="G11" i="2"/>
  <c r="F11" i="2"/>
  <c r="E11" i="2"/>
  <c r="D11" i="2"/>
  <c r="C11" i="2"/>
  <c r="I1" i="2"/>
  <c r="G1" i="2"/>
  <c r="E1" i="2"/>
  <c r="C1" i="2"/>
  <c r="B13" i="3"/>
  <c r="C13" i="3"/>
  <c r="I138" i="4"/>
  <c r="G138" i="4"/>
  <c r="E138" i="4"/>
  <c r="C138" i="4"/>
  <c r="I136" i="4"/>
  <c r="G136" i="4"/>
  <c r="E136" i="4"/>
  <c r="C136" i="4"/>
  <c r="I134" i="4"/>
  <c r="I133" i="4"/>
  <c r="I132" i="4"/>
  <c r="I131" i="4"/>
  <c r="G134" i="4"/>
  <c r="G133" i="4"/>
  <c r="G132" i="4"/>
  <c r="G131" i="4"/>
  <c r="E134" i="4"/>
  <c r="E133" i="4"/>
  <c r="E132" i="4"/>
  <c r="E131" i="4"/>
  <c r="C134" i="4"/>
  <c r="C133" i="4"/>
  <c r="C132" i="4"/>
  <c r="C131" i="4"/>
  <c r="I129" i="4"/>
  <c r="I128" i="4"/>
  <c r="I127" i="4"/>
  <c r="I126" i="4"/>
  <c r="G129" i="4"/>
  <c r="G128" i="4"/>
  <c r="G127" i="4"/>
  <c r="G126" i="4"/>
  <c r="G125" i="4" s="1"/>
  <c r="G159" i="4" s="1"/>
  <c r="E129" i="4"/>
  <c r="E128" i="4"/>
  <c r="E127" i="4"/>
  <c r="E126" i="4"/>
  <c r="E125" i="4" s="1"/>
  <c r="E159" i="4" s="1"/>
  <c r="C129" i="4"/>
  <c r="C128" i="4"/>
  <c r="C127" i="4"/>
  <c r="C126" i="4"/>
  <c r="I123" i="4"/>
  <c r="I122" i="4"/>
  <c r="I121" i="4"/>
  <c r="G123" i="4"/>
  <c r="G122" i="4"/>
  <c r="G121" i="4"/>
  <c r="E123" i="4"/>
  <c r="E122" i="4"/>
  <c r="E121" i="4"/>
  <c r="E120" i="4" s="1"/>
  <c r="C123" i="4"/>
  <c r="C122" i="4"/>
  <c r="C121" i="4"/>
  <c r="I118" i="4"/>
  <c r="I117" i="4"/>
  <c r="I116" i="4"/>
  <c r="I115" i="4"/>
  <c r="G118" i="4"/>
  <c r="G117" i="4"/>
  <c r="G116" i="4"/>
  <c r="G115" i="4"/>
  <c r="E118" i="4"/>
  <c r="E117" i="4"/>
  <c r="E116" i="4"/>
  <c r="E115" i="4"/>
  <c r="E114" i="4" s="1"/>
  <c r="C118" i="4"/>
  <c r="C117" i="4"/>
  <c r="C116" i="4"/>
  <c r="C115" i="4"/>
  <c r="I112" i="4"/>
  <c r="I111" i="4"/>
  <c r="G112" i="4"/>
  <c r="G111" i="4"/>
  <c r="E112" i="4"/>
  <c r="E111" i="4"/>
  <c r="C112" i="4"/>
  <c r="C111" i="4"/>
  <c r="C113" i="4"/>
  <c r="C163" i="4" s="1"/>
  <c r="C158" i="4" s="1"/>
  <c r="I101" i="4"/>
  <c r="G101" i="4"/>
  <c r="E101" i="4"/>
  <c r="C101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147" i="4" s="1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146" i="4" s="1"/>
  <c r="I53" i="4"/>
  <c r="I52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I45" i="4"/>
  <c r="I44" i="4"/>
  <c r="I43" i="4"/>
  <c r="G45" i="4"/>
  <c r="G44" i="4"/>
  <c r="G43" i="4"/>
  <c r="G42" i="4" s="1"/>
  <c r="E45" i="4"/>
  <c r="E44" i="4"/>
  <c r="E43" i="4"/>
  <c r="I40" i="4"/>
  <c r="I39" i="4"/>
  <c r="I38" i="4"/>
  <c r="I37" i="4"/>
  <c r="I36" i="4"/>
  <c r="I35" i="4"/>
  <c r="I34" i="4"/>
  <c r="I33" i="4"/>
  <c r="I32" i="4"/>
  <c r="I31" i="4"/>
  <c r="I30" i="4"/>
  <c r="I29" i="4" s="1"/>
  <c r="G40" i="4"/>
  <c r="G39" i="4"/>
  <c r="G38" i="4"/>
  <c r="G37" i="4"/>
  <c r="G36" i="4"/>
  <c r="G35" i="4"/>
  <c r="G34" i="4"/>
  <c r="G33" i="4"/>
  <c r="G32" i="4"/>
  <c r="G31" i="4"/>
  <c r="G30" i="4"/>
  <c r="G29" i="4" s="1"/>
  <c r="E40" i="4"/>
  <c r="E39" i="4"/>
  <c r="E38" i="4"/>
  <c r="E37" i="4"/>
  <c r="E36" i="4"/>
  <c r="E35" i="4"/>
  <c r="E34" i="4"/>
  <c r="E33" i="4"/>
  <c r="E32" i="4"/>
  <c r="E31" i="4"/>
  <c r="E30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 s="1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3" i="4"/>
  <c r="E12" i="4"/>
  <c r="E149" i="4" s="1"/>
  <c r="C45" i="4"/>
  <c r="C44" i="4"/>
  <c r="C43" i="4"/>
  <c r="C40" i="4"/>
  <c r="C39" i="4"/>
  <c r="C38" i="4"/>
  <c r="C37" i="4"/>
  <c r="C36" i="4"/>
  <c r="C35" i="4"/>
  <c r="C34" i="4"/>
  <c r="C33" i="4"/>
  <c r="C32" i="4"/>
  <c r="C31" i="4"/>
  <c r="C30" i="4"/>
  <c r="C29" i="4" s="1"/>
  <c r="C13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12" i="4"/>
  <c r="I149" i="4"/>
  <c r="G149" i="4"/>
  <c r="C149" i="4"/>
  <c r="C147" i="4"/>
  <c r="G146" i="4"/>
  <c r="E146" i="4"/>
  <c r="C146" i="4"/>
  <c r="I125" i="4"/>
  <c r="I159" i="4" s="1"/>
  <c r="C125" i="4"/>
  <c r="C159" i="4" s="1"/>
  <c r="I120" i="4"/>
  <c r="J104" i="4"/>
  <c r="H104" i="4"/>
  <c r="F104" i="4"/>
  <c r="D104" i="4"/>
  <c r="J103" i="4"/>
  <c r="H103" i="4"/>
  <c r="F103" i="4"/>
  <c r="D103" i="4"/>
  <c r="J102" i="4"/>
  <c r="H102" i="4"/>
  <c r="F102" i="4"/>
  <c r="D102" i="4"/>
  <c r="J101" i="4"/>
  <c r="H101" i="4"/>
  <c r="F101" i="4"/>
  <c r="D101" i="4"/>
  <c r="J99" i="4"/>
  <c r="H99" i="4"/>
  <c r="F99" i="4"/>
  <c r="D99" i="4"/>
  <c r="J97" i="4"/>
  <c r="H97" i="4"/>
  <c r="F97" i="4"/>
  <c r="D97" i="4"/>
  <c r="J95" i="4"/>
  <c r="H95" i="4"/>
  <c r="F95" i="4"/>
  <c r="D95" i="4"/>
  <c r="J94" i="4"/>
  <c r="H94" i="4"/>
  <c r="F94" i="4"/>
  <c r="D94" i="4"/>
  <c r="J93" i="4"/>
  <c r="H93" i="4"/>
  <c r="F93" i="4"/>
  <c r="D93" i="4"/>
  <c r="J92" i="4"/>
  <c r="H92" i="4"/>
  <c r="F92" i="4"/>
  <c r="D92" i="4"/>
  <c r="J91" i="4"/>
  <c r="H91" i="4"/>
  <c r="F91" i="4"/>
  <c r="D91" i="4"/>
  <c r="J90" i="4"/>
  <c r="H90" i="4"/>
  <c r="F90" i="4"/>
  <c r="D90" i="4"/>
  <c r="J89" i="4"/>
  <c r="H89" i="4"/>
  <c r="F89" i="4"/>
  <c r="D89" i="4"/>
  <c r="J88" i="4"/>
  <c r="H88" i="4"/>
  <c r="F88" i="4"/>
  <c r="D88" i="4"/>
  <c r="J87" i="4"/>
  <c r="H87" i="4"/>
  <c r="F87" i="4"/>
  <c r="D87" i="4"/>
  <c r="J86" i="4"/>
  <c r="H86" i="4"/>
  <c r="F86" i="4"/>
  <c r="D86" i="4"/>
  <c r="J85" i="4"/>
  <c r="H85" i="4"/>
  <c r="F85" i="4"/>
  <c r="D85" i="4"/>
  <c r="J84" i="4"/>
  <c r="H84" i="4"/>
  <c r="F84" i="4"/>
  <c r="D84" i="4"/>
  <c r="J83" i="4"/>
  <c r="H83" i="4"/>
  <c r="F83" i="4"/>
  <c r="D83" i="4"/>
  <c r="J82" i="4"/>
  <c r="H82" i="4"/>
  <c r="F82" i="4"/>
  <c r="D82" i="4"/>
  <c r="J81" i="4"/>
  <c r="H81" i="4"/>
  <c r="F81" i="4"/>
  <c r="D81" i="4"/>
  <c r="J80" i="4"/>
  <c r="H80" i="4"/>
  <c r="F80" i="4"/>
  <c r="D80" i="4"/>
  <c r="J79" i="4"/>
  <c r="H79" i="4"/>
  <c r="F79" i="4"/>
  <c r="D79" i="4"/>
  <c r="C79" i="4"/>
  <c r="J77" i="4"/>
  <c r="H77" i="4"/>
  <c r="F77" i="4"/>
  <c r="D77" i="4"/>
  <c r="J76" i="4"/>
  <c r="H76" i="4"/>
  <c r="F76" i="4"/>
  <c r="D76" i="4"/>
  <c r="J75" i="4"/>
  <c r="H75" i="4"/>
  <c r="F75" i="4"/>
  <c r="D75" i="4"/>
  <c r="J74" i="4"/>
  <c r="H74" i="4"/>
  <c r="F74" i="4"/>
  <c r="D74" i="4"/>
  <c r="J73" i="4"/>
  <c r="H73" i="4"/>
  <c r="F73" i="4"/>
  <c r="D73" i="4"/>
  <c r="J72" i="4"/>
  <c r="H72" i="4"/>
  <c r="F72" i="4"/>
  <c r="D72" i="4"/>
  <c r="J71" i="4"/>
  <c r="H71" i="4"/>
  <c r="F71" i="4"/>
  <c r="D71" i="4"/>
  <c r="J70" i="4"/>
  <c r="H70" i="4"/>
  <c r="F70" i="4"/>
  <c r="D70" i="4"/>
  <c r="J69" i="4"/>
  <c r="H69" i="4"/>
  <c r="F69" i="4"/>
  <c r="D69" i="4"/>
  <c r="J68" i="4"/>
  <c r="H68" i="4"/>
  <c r="F68" i="4"/>
  <c r="D68" i="4"/>
  <c r="J67" i="4"/>
  <c r="H67" i="4"/>
  <c r="F67" i="4"/>
  <c r="D67" i="4"/>
  <c r="J66" i="4"/>
  <c r="H66" i="4"/>
  <c r="F66" i="4"/>
  <c r="D66" i="4"/>
  <c r="J65" i="4"/>
  <c r="H65" i="4"/>
  <c r="F65" i="4"/>
  <c r="D65" i="4"/>
  <c r="J64" i="4"/>
  <c r="H64" i="4"/>
  <c r="F64" i="4"/>
  <c r="D64" i="4"/>
  <c r="J63" i="4"/>
  <c r="H63" i="4"/>
  <c r="F63" i="4"/>
  <c r="D63" i="4"/>
  <c r="J62" i="4"/>
  <c r="H62" i="4"/>
  <c r="F62" i="4"/>
  <c r="D62" i="4"/>
  <c r="J61" i="4"/>
  <c r="H61" i="4"/>
  <c r="F61" i="4"/>
  <c r="D61" i="4"/>
  <c r="J60" i="4"/>
  <c r="H60" i="4"/>
  <c r="F60" i="4"/>
  <c r="D60" i="4"/>
  <c r="J59" i="4"/>
  <c r="H59" i="4"/>
  <c r="F59" i="4"/>
  <c r="D59" i="4"/>
  <c r="J58" i="4"/>
  <c r="H58" i="4"/>
  <c r="F58" i="4"/>
  <c r="D58" i="4"/>
  <c r="J57" i="4"/>
  <c r="H57" i="4"/>
  <c r="F57" i="4"/>
  <c r="D57" i="4"/>
  <c r="J56" i="4"/>
  <c r="H56" i="4"/>
  <c r="F56" i="4"/>
  <c r="D56" i="4"/>
  <c r="J55" i="4"/>
  <c r="H55" i="4"/>
  <c r="F55" i="4"/>
  <c r="D55" i="4"/>
  <c r="J54" i="4"/>
  <c r="H54" i="4"/>
  <c r="F54" i="4"/>
  <c r="D54" i="4"/>
  <c r="J53" i="4"/>
  <c r="H53" i="4"/>
  <c r="F53" i="4"/>
  <c r="D53" i="4"/>
  <c r="J52" i="4"/>
  <c r="H52" i="4"/>
  <c r="F52" i="4"/>
  <c r="D52" i="4"/>
  <c r="J51" i="4"/>
  <c r="H51" i="4"/>
  <c r="F51" i="4"/>
  <c r="E51" i="4"/>
  <c r="D51" i="4"/>
  <c r="J47" i="4"/>
  <c r="H47" i="4"/>
  <c r="F47" i="4"/>
  <c r="D47" i="4"/>
  <c r="J45" i="4"/>
  <c r="H45" i="4"/>
  <c r="F45" i="4"/>
  <c r="D45" i="4"/>
  <c r="J44" i="4"/>
  <c r="H44" i="4"/>
  <c r="F44" i="4"/>
  <c r="D44" i="4"/>
  <c r="J43" i="4"/>
  <c r="H43" i="4"/>
  <c r="F43" i="4"/>
  <c r="D43" i="4"/>
  <c r="J42" i="4"/>
  <c r="I42" i="4"/>
  <c r="H42" i="4"/>
  <c r="F42" i="4"/>
  <c r="D42" i="4"/>
  <c r="C42" i="4"/>
  <c r="C151" i="4" s="1"/>
  <c r="J40" i="4"/>
  <c r="H40" i="4"/>
  <c r="F40" i="4"/>
  <c r="D40" i="4"/>
  <c r="J39" i="4"/>
  <c r="H39" i="4"/>
  <c r="F39" i="4"/>
  <c r="D39" i="4"/>
  <c r="J38" i="4"/>
  <c r="H38" i="4"/>
  <c r="F38" i="4"/>
  <c r="D38" i="4"/>
  <c r="J37" i="4"/>
  <c r="H37" i="4"/>
  <c r="F37" i="4"/>
  <c r="D37" i="4"/>
  <c r="J36" i="4"/>
  <c r="H36" i="4"/>
  <c r="F36" i="4"/>
  <c r="D36" i="4"/>
  <c r="J35" i="4"/>
  <c r="H35" i="4"/>
  <c r="F35" i="4"/>
  <c r="D35" i="4"/>
  <c r="J34" i="4"/>
  <c r="H34" i="4"/>
  <c r="F34" i="4"/>
  <c r="D34" i="4"/>
  <c r="J33" i="4"/>
  <c r="H33" i="4"/>
  <c r="F33" i="4"/>
  <c r="D33" i="4"/>
  <c r="J32" i="4"/>
  <c r="H32" i="4"/>
  <c r="F32" i="4"/>
  <c r="D32" i="4"/>
  <c r="J31" i="4"/>
  <c r="H31" i="4"/>
  <c r="F31" i="4"/>
  <c r="D31" i="4"/>
  <c r="J30" i="4"/>
  <c r="H30" i="4"/>
  <c r="F30" i="4"/>
  <c r="D30" i="4"/>
  <c r="J29" i="4"/>
  <c r="H29" i="4"/>
  <c r="F29" i="4"/>
  <c r="D29" i="4"/>
  <c r="J27" i="4"/>
  <c r="H27" i="4"/>
  <c r="F27" i="4"/>
  <c r="D27" i="4"/>
  <c r="J26" i="4"/>
  <c r="H26" i="4"/>
  <c r="F26" i="4"/>
  <c r="D26" i="4"/>
  <c r="J25" i="4"/>
  <c r="H25" i="4"/>
  <c r="F25" i="4"/>
  <c r="D25" i="4"/>
  <c r="J24" i="4"/>
  <c r="H24" i="4"/>
  <c r="F24" i="4"/>
  <c r="D24" i="4"/>
  <c r="J23" i="4"/>
  <c r="H23" i="4"/>
  <c r="F23" i="4"/>
  <c r="D23" i="4"/>
  <c r="J22" i="4"/>
  <c r="H22" i="4"/>
  <c r="F22" i="4"/>
  <c r="D22" i="4"/>
  <c r="J21" i="4"/>
  <c r="H21" i="4"/>
  <c r="F21" i="4"/>
  <c r="D21" i="4"/>
  <c r="J20" i="4"/>
  <c r="H20" i="4"/>
  <c r="F20" i="4"/>
  <c r="D20" i="4"/>
  <c r="J19" i="4"/>
  <c r="H19" i="4"/>
  <c r="F19" i="4"/>
  <c r="D19" i="4"/>
  <c r="J18" i="4"/>
  <c r="H18" i="4"/>
  <c r="F18" i="4"/>
  <c r="D18" i="4"/>
  <c r="J17" i="4"/>
  <c r="H17" i="4"/>
  <c r="F17" i="4"/>
  <c r="D17" i="4"/>
  <c r="J16" i="4"/>
  <c r="H16" i="4"/>
  <c r="F16" i="4"/>
  <c r="D16" i="4"/>
  <c r="J15" i="4"/>
  <c r="H15" i="4"/>
  <c r="F15" i="4"/>
  <c r="D15" i="4"/>
  <c r="J14" i="4"/>
  <c r="H14" i="4"/>
  <c r="F14" i="4"/>
  <c r="D14" i="4"/>
  <c r="J13" i="4"/>
  <c r="H13" i="4"/>
  <c r="F13" i="4"/>
  <c r="D13" i="4"/>
  <c r="J12" i="4"/>
  <c r="H12" i="4"/>
  <c r="F12" i="4"/>
  <c r="D12" i="4"/>
  <c r="J11" i="4"/>
  <c r="H11" i="4"/>
  <c r="F11" i="4"/>
  <c r="D11" i="4"/>
  <c r="I11" i="1"/>
  <c r="G11" i="1"/>
  <c r="E11" i="1"/>
  <c r="I29" i="1"/>
  <c r="G29" i="1"/>
  <c r="E29" i="1"/>
  <c r="C29" i="1"/>
  <c r="I42" i="1"/>
  <c r="G42" i="1"/>
  <c r="E42" i="1"/>
  <c r="C42" i="1"/>
  <c r="I79" i="1"/>
  <c r="G79" i="1"/>
  <c r="E79" i="1"/>
  <c r="I51" i="1"/>
  <c r="G51" i="1"/>
  <c r="E51" i="1"/>
  <c r="I167" i="1"/>
  <c r="I166" i="1"/>
  <c r="I165" i="1"/>
  <c r="G167" i="1"/>
  <c r="G166" i="1"/>
  <c r="G165" i="1"/>
  <c r="E167" i="1"/>
  <c r="E166" i="1"/>
  <c r="E165" i="1"/>
  <c r="E168" i="1" s="1"/>
  <c r="C167" i="1"/>
  <c r="C166" i="1"/>
  <c r="C165" i="1"/>
  <c r="I151" i="1"/>
  <c r="I149" i="1"/>
  <c r="I147" i="1"/>
  <c r="I146" i="1"/>
  <c r="I148" i="1" s="1"/>
  <c r="I145" i="1" s="1"/>
  <c r="G151" i="1"/>
  <c r="G149" i="1"/>
  <c r="G147" i="1"/>
  <c r="G146" i="1"/>
  <c r="G148" i="1" s="1"/>
  <c r="G145" i="1" s="1"/>
  <c r="E151" i="1"/>
  <c r="E149" i="1"/>
  <c r="E147" i="1"/>
  <c r="E146" i="1"/>
  <c r="C151" i="1"/>
  <c r="C149" i="1"/>
  <c r="C147" i="1"/>
  <c r="C146" i="1"/>
  <c r="I2" i="1"/>
  <c r="I114" i="1"/>
  <c r="G114" i="1"/>
  <c r="E114" i="1"/>
  <c r="I125" i="1"/>
  <c r="I120" i="1"/>
  <c r="G125" i="1"/>
  <c r="G120" i="1"/>
  <c r="E125" i="1"/>
  <c r="E120" i="1"/>
  <c r="C125" i="1"/>
  <c r="C159" i="1" s="1"/>
  <c r="C114" i="1"/>
  <c r="C120" i="1"/>
  <c r="I113" i="1"/>
  <c r="J132" i="1" s="1"/>
  <c r="G113" i="1"/>
  <c r="H137" i="1" s="1"/>
  <c r="E113" i="1"/>
  <c r="F121" i="1" s="1"/>
  <c r="C113" i="1"/>
  <c r="D121" i="1" s="1"/>
  <c r="J130" i="1"/>
  <c r="J117" i="1"/>
  <c r="H139" i="1"/>
  <c r="H138" i="1"/>
  <c r="H135" i="1"/>
  <c r="H134" i="1"/>
  <c r="H133" i="1"/>
  <c r="H132" i="1"/>
  <c r="H131" i="1"/>
  <c r="H126" i="1"/>
  <c r="H123" i="1"/>
  <c r="H122" i="1"/>
  <c r="H121" i="1"/>
  <c r="H120" i="1"/>
  <c r="H119" i="1"/>
  <c r="H118" i="1"/>
  <c r="H117" i="1"/>
  <c r="F112" i="1"/>
  <c r="F113" i="1"/>
  <c r="F114" i="1"/>
  <c r="F115" i="1"/>
  <c r="F116" i="1"/>
  <c r="F117" i="1"/>
  <c r="F118" i="1"/>
  <c r="F119" i="1"/>
  <c r="F120" i="1"/>
  <c r="F126" i="1"/>
  <c r="F127" i="1"/>
  <c r="F128" i="1"/>
  <c r="F129" i="1"/>
  <c r="F130" i="1"/>
  <c r="F131" i="1"/>
  <c r="F132" i="1"/>
  <c r="F136" i="1"/>
  <c r="F137" i="1"/>
  <c r="F138" i="1"/>
  <c r="D112" i="1"/>
  <c r="D113" i="1"/>
  <c r="D114" i="1"/>
  <c r="D115" i="1"/>
  <c r="D120" i="1"/>
  <c r="D123" i="1"/>
  <c r="D124" i="1"/>
  <c r="D125" i="1"/>
  <c r="D126" i="1"/>
  <c r="D127" i="1"/>
  <c r="D128" i="1"/>
  <c r="D135" i="1"/>
  <c r="D136" i="1"/>
  <c r="D137" i="1"/>
  <c r="D138" i="1"/>
  <c r="D139" i="1"/>
  <c r="D111" i="1"/>
  <c r="C79" i="1"/>
  <c r="C51" i="1"/>
  <c r="I47" i="1"/>
  <c r="J103" i="1" s="1"/>
  <c r="E150" i="1"/>
  <c r="C11" i="1"/>
  <c r="I165" i="4" l="1"/>
  <c r="I167" i="4"/>
  <c r="C165" i="4"/>
  <c r="I147" i="4"/>
  <c r="G147" i="4"/>
  <c r="C120" i="4"/>
  <c r="I114" i="4"/>
  <c r="G114" i="4"/>
  <c r="C114" i="4"/>
  <c r="I113" i="4"/>
  <c r="G113" i="4"/>
  <c r="E113" i="4"/>
  <c r="G168" i="1"/>
  <c r="I159" i="1"/>
  <c r="I11" i="4"/>
  <c r="G2" i="1"/>
  <c r="E2" i="1"/>
  <c r="I163" i="1"/>
  <c r="I158" i="1" s="1"/>
  <c r="G163" i="1"/>
  <c r="G158" i="1" s="1"/>
  <c r="E163" i="1"/>
  <c r="E158" i="1" s="1"/>
  <c r="C168" i="1"/>
  <c r="G159" i="1"/>
  <c r="I168" i="1"/>
  <c r="C163" i="1"/>
  <c r="C158" i="1" s="1"/>
  <c r="E159" i="1"/>
  <c r="C119" i="1"/>
  <c r="I168" i="2"/>
  <c r="G168" i="2"/>
  <c r="E168" i="2"/>
  <c r="C168" i="2"/>
  <c r="I163" i="2"/>
  <c r="I158" i="2" s="1"/>
  <c r="G163" i="2"/>
  <c r="G158" i="2" s="1"/>
  <c r="E163" i="2"/>
  <c r="E158" i="2" s="1"/>
  <c r="C163" i="2"/>
  <c r="C158" i="2" s="1"/>
  <c r="I159" i="2"/>
  <c r="G159" i="2"/>
  <c r="E159" i="2"/>
  <c r="C159" i="2"/>
  <c r="I148" i="2"/>
  <c r="I145" i="2" s="1"/>
  <c r="G148" i="2"/>
  <c r="G145" i="2" s="1"/>
  <c r="E148" i="2"/>
  <c r="E145" i="2" s="1"/>
  <c r="C148" i="2"/>
  <c r="C145" i="2" s="1"/>
  <c r="J139" i="2"/>
  <c r="H139" i="2"/>
  <c r="F139" i="2"/>
  <c r="D139" i="2"/>
  <c r="J138" i="2"/>
  <c r="H138" i="2"/>
  <c r="F138" i="2"/>
  <c r="D138" i="2"/>
  <c r="J137" i="2"/>
  <c r="H137" i="2"/>
  <c r="F137" i="2"/>
  <c r="D137" i="2"/>
  <c r="J136" i="2"/>
  <c r="H136" i="2"/>
  <c r="F136" i="2"/>
  <c r="D136" i="2"/>
  <c r="J135" i="2"/>
  <c r="H135" i="2"/>
  <c r="F135" i="2"/>
  <c r="D135" i="2"/>
  <c r="J134" i="2"/>
  <c r="H134" i="2"/>
  <c r="F134" i="2"/>
  <c r="D134" i="2"/>
  <c r="J133" i="2"/>
  <c r="H133" i="2"/>
  <c r="F133" i="2"/>
  <c r="D133" i="2"/>
  <c r="J132" i="2"/>
  <c r="H132" i="2"/>
  <c r="F132" i="2"/>
  <c r="D132" i="2"/>
  <c r="J131" i="2"/>
  <c r="H131" i="2"/>
  <c r="F131" i="2"/>
  <c r="D131" i="2"/>
  <c r="J130" i="2"/>
  <c r="H130" i="2"/>
  <c r="F130" i="2"/>
  <c r="D130" i="2"/>
  <c r="J129" i="2"/>
  <c r="H129" i="2"/>
  <c r="F129" i="2"/>
  <c r="D129" i="2"/>
  <c r="J128" i="2"/>
  <c r="H128" i="2"/>
  <c r="F128" i="2"/>
  <c r="D128" i="2"/>
  <c r="J127" i="2"/>
  <c r="H127" i="2"/>
  <c r="F127" i="2"/>
  <c r="D127" i="2"/>
  <c r="J126" i="2"/>
  <c r="H126" i="2"/>
  <c r="F126" i="2"/>
  <c r="D126" i="2"/>
  <c r="J125" i="2"/>
  <c r="H125" i="2"/>
  <c r="F125" i="2"/>
  <c r="D125" i="2"/>
  <c r="J124" i="2"/>
  <c r="H124" i="2"/>
  <c r="F124" i="2"/>
  <c r="D124" i="2"/>
  <c r="J123" i="2"/>
  <c r="H123" i="2"/>
  <c r="F123" i="2"/>
  <c r="D123" i="2"/>
  <c r="J122" i="2"/>
  <c r="H122" i="2"/>
  <c r="F122" i="2"/>
  <c r="D122" i="2"/>
  <c r="J121" i="2"/>
  <c r="H121" i="2"/>
  <c r="F121" i="2"/>
  <c r="D121" i="2"/>
  <c r="J120" i="2"/>
  <c r="H120" i="2"/>
  <c r="F120" i="2"/>
  <c r="D120" i="2"/>
  <c r="J119" i="2"/>
  <c r="I119" i="2"/>
  <c r="I124" i="2" s="1"/>
  <c r="H119" i="2"/>
  <c r="G119" i="2"/>
  <c r="G124" i="2" s="1"/>
  <c r="F119" i="2"/>
  <c r="E119" i="2"/>
  <c r="E124" i="2" s="1"/>
  <c r="D119" i="2"/>
  <c r="C119" i="2"/>
  <c r="C124" i="2" s="1"/>
  <c r="J118" i="2"/>
  <c r="H118" i="2"/>
  <c r="F118" i="2"/>
  <c r="D118" i="2"/>
  <c r="J117" i="2"/>
  <c r="H117" i="2"/>
  <c r="F117" i="2"/>
  <c r="D117" i="2"/>
  <c r="J116" i="2"/>
  <c r="H116" i="2"/>
  <c r="F116" i="2"/>
  <c r="D116" i="2"/>
  <c r="J115" i="2"/>
  <c r="H115" i="2"/>
  <c r="F115" i="2"/>
  <c r="D115" i="2"/>
  <c r="J114" i="2"/>
  <c r="H114" i="2"/>
  <c r="F114" i="2"/>
  <c r="D114" i="2"/>
  <c r="I47" i="2"/>
  <c r="G47" i="2"/>
  <c r="E47" i="2"/>
  <c r="C47" i="2"/>
  <c r="I2" i="2"/>
  <c r="G2" i="2"/>
  <c r="E2" i="2"/>
  <c r="C2" i="2"/>
  <c r="G23" i="3"/>
  <c r="E23" i="3"/>
  <c r="C23" i="3"/>
  <c r="B23" i="3"/>
  <c r="G22" i="3"/>
  <c r="E22" i="3"/>
  <c r="G20" i="3"/>
  <c r="E20" i="3"/>
  <c r="C20" i="3"/>
  <c r="B20" i="3"/>
  <c r="G19" i="3"/>
  <c r="E19" i="3"/>
  <c r="C19" i="3"/>
  <c r="B19" i="3"/>
  <c r="G17" i="3"/>
  <c r="E17" i="3"/>
  <c r="C17" i="3"/>
  <c r="B17" i="3"/>
  <c r="G16" i="3"/>
  <c r="E16" i="3"/>
  <c r="C16" i="3"/>
  <c r="B16" i="3"/>
  <c r="G15" i="3"/>
  <c r="E15" i="3"/>
  <c r="C15" i="3"/>
  <c r="B15" i="3"/>
  <c r="G14" i="3"/>
  <c r="E14" i="3"/>
  <c r="C14" i="3"/>
  <c r="B14" i="3"/>
  <c r="G13" i="3"/>
  <c r="E13" i="3"/>
  <c r="F13" i="3" s="1"/>
  <c r="H7" i="3"/>
  <c r="F7" i="3"/>
  <c r="D7" i="3"/>
  <c r="B7" i="3"/>
  <c r="H3" i="3"/>
  <c r="F3" i="3"/>
  <c r="D3" i="3"/>
  <c r="B3" i="3"/>
  <c r="H2" i="3"/>
  <c r="I2" i="3" s="1"/>
  <c r="F2" i="3"/>
  <c r="G2" i="3" s="1"/>
  <c r="D2" i="3"/>
  <c r="E2" i="3" s="1"/>
  <c r="B2" i="3"/>
  <c r="C2" i="3" s="1"/>
  <c r="G120" i="4"/>
  <c r="E165" i="4"/>
  <c r="I79" i="4"/>
  <c r="G79" i="4"/>
  <c r="G51" i="4"/>
  <c r="C51" i="4"/>
  <c r="E42" i="4"/>
  <c r="E29" i="4"/>
  <c r="I166" i="4"/>
  <c r="C11" i="4"/>
  <c r="B22" i="3" s="1"/>
  <c r="D13" i="3"/>
  <c r="E167" i="4"/>
  <c r="G167" i="4"/>
  <c r="E166" i="4"/>
  <c r="E168" i="4" s="1"/>
  <c r="G166" i="4"/>
  <c r="C166" i="4"/>
  <c r="E79" i="4"/>
  <c r="I51" i="4"/>
  <c r="I2" i="4"/>
  <c r="I150" i="4"/>
  <c r="C167" i="4"/>
  <c r="E11" i="4"/>
  <c r="C22" i="3" s="1"/>
  <c r="G165" i="4"/>
  <c r="G2" i="4"/>
  <c r="I148" i="4"/>
  <c r="G18" i="3" s="1"/>
  <c r="E1" i="4"/>
  <c r="E148" i="4"/>
  <c r="C18" i="3" s="1"/>
  <c r="G148" i="4"/>
  <c r="C150" i="4"/>
  <c r="C119" i="4"/>
  <c r="C148" i="4"/>
  <c r="C2" i="4"/>
  <c r="I168" i="4"/>
  <c r="G150" i="4"/>
  <c r="E145" i="4"/>
  <c r="C21" i="3" s="1"/>
  <c r="C1" i="4"/>
  <c r="E119" i="4"/>
  <c r="I145" i="4"/>
  <c r="G21" i="3" s="1"/>
  <c r="G1" i="4"/>
  <c r="G151" i="4"/>
  <c r="I151" i="4"/>
  <c r="G119" i="4"/>
  <c r="G163" i="4"/>
  <c r="G158" i="4" s="1"/>
  <c r="I163" i="4"/>
  <c r="I158" i="4" s="1"/>
  <c r="I119" i="4"/>
  <c r="E163" i="4"/>
  <c r="E158" i="4" s="1"/>
  <c r="C1" i="1"/>
  <c r="G47" i="1"/>
  <c r="H33" i="1" s="1"/>
  <c r="J131" i="1"/>
  <c r="J51" i="1"/>
  <c r="J75" i="1"/>
  <c r="J122" i="1"/>
  <c r="H82" i="1"/>
  <c r="J77" i="1"/>
  <c r="C148" i="1"/>
  <c r="C145" i="1" s="1"/>
  <c r="H54" i="1"/>
  <c r="J59" i="1"/>
  <c r="J111" i="1"/>
  <c r="J124" i="1"/>
  <c r="J137" i="1"/>
  <c r="H55" i="1"/>
  <c r="J60" i="1"/>
  <c r="H111" i="1"/>
  <c r="H127" i="1"/>
  <c r="J125" i="1"/>
  <c r="J138" i="1"/>
  <c r="H56" i="1"/>
  <c r="H85" i="1"/>
  <c r="J61" i="1"/>
  <c r="J88" i="1"/>
  <c r="D129" i="1"/>
  <c r="F111" i="1"/>
  <c r="F125" i="1"/>
  <c r="H114" i="1"/>
  <c r="H128" i="1"/>
  <c r="J113" i="1"/>
  <c r="J126" i="1"/>
  <c r="J139" i="1"/>
  <c r="E148" i="1"/>
  <c r="E145" i="1" s="1"/>
  <c r="H68" i="1"/>
  <c r="J101" i="1"/>
  <c r="J72" i="1"/>
  <c r="J73" i="1"/>
  <c r="C124" i="1"/>
  <c r="J47" i="1"/>
  <c r="J76" i="1"/>
  <c r="J135" i="1"/>
  <c r="G150" i="1"/>
  <c r="H53" i="1"/>
  <c r="J136" i="1"/>
  <c r="H83" i="1"/>
  <c r="H84" i="1"/>
  <c r="J86" i="1"/>
  <c r="J112" i="1"/>
  <c r="J63" i="1"/>
  <c r="J89" i="1"/>
  <c r="F139" i="1"/>
  <c r="F124" i="1"/>
  <c r="H115" i="1"/>
  <c r="H129" i="1"/>
  <c r="J114" i="1"/>
  <c r="J127" i="1"/>
  <c r="I150" i="1"/>
  <c r="J71" i="1"/>
  <c r="I119" i="1"/>
  <c r="I124" i="1" s="1"/>
  <c r="J118" i="1"/>
  <c r="J119" i="1"/>
  <c r="J133" i="1"/>
  <c r="C2" i="1"/>
  <c r="C3" i="1" s="1"/>
  <c r="J121" i="1"/>
  <c r="J52" i="1"/>
  <c r="J58" i="1"/>
  <c r="J123" i="1"/>
  <c r="J85" i="1"/>
  <c r="H66" i="1"/>
  <c r="H95" i="1"/>
  <c r="J64" i="1"/>
  <c r="J90" i="1"/>
  <c r="H116" i="1"/>
  <c r="H130" i="1"/>
  <c r="J115" i="1"/>
  <c r="J128" i="1"/>
  <c r="E119" i="1"/>
  <c r="E124" i="1" s="1"/>
  <c r="J104" i="1"/>
  <c r="H70" i="1"/>
  <c r="H71" i="1"/>
  <c r="J134" i="1"/>
  <c r="H97" i="1"/>
  <c r="J65" i="1"/>
  <c r="J91" i="1"/>
  <c r="J116" i="1"/>
  <c r="J129" i="1"/>
  <c r="G119" i="1"/>
  <c r="G124" i="1" s="1"/>
  <c r="C150" i="1"/>
  <c r="E47" i="1"/>
  <c r="F90" i="1" s="1"/>
  <c r="E1" i="1"/>
  <c r="E3" i="1" s="1"/>
  <c r="J79" i="1"/>
  <c r="J92" i="1"/>
  <c r="H72" i="1"/>
  <c r="H87" i="1"/>
  <c r="H73" i="1"/>
  <c r="J53" i="1"/>
  <c r="J66" i="1"/>
  <c r="J80" i="1"/>
  <c r="J93" i="1"/>
  <c r="H60" i="1"/>
  <c r="J54" i="1"/>
  <c r="J67" i="1"/>
  <c r="J81" i="1"/>
  <c r="J94" i="1"/>
  <c r="D134" i="1"/>
  <c r="D119" i="1"/>
  <c r="G1" i="1"/>
  <c r="G3" i="1" s="1"/>
  <c r="H77" i="1"/>
  <c r="H92" i="1"/>
  <c r="J55" i="1"/>
  <c r="J68" i="1"/>
  <c r="J82" i="1"/>
  <c r="J95" i="1"/>
  <c r="D132" i="1"/>
  <c r="D118" i="1"/>
  <c r="F135" i="1"/>
  <c r="F123" i="1"/>
  <c r="J56" i="1"/>
  <c r="J69" i="1"/>
  <c r="J83" i="1"/>
  <c r="J97" i="1"/>
  <c r="D131" i="1"/>
  <c r="D117" i="1"/>
  <c r="F134" i="1"/>
  <c r="F122" i="1"/>
  <c r="H112" i="1"/>
  <c r="H124" i="1"/>
  <c r="H136" i="1"/>
  <c r="I1" i="1"/>
  <c r="I3" i="1" s="1"/>
  <c r="J57" i="1"/>
  <c r="J70" i="1"/>
  <c r="J84" i="1"/>
  <c r="J99" i="1"/>
  <c r="D130" i="1"/>
  <c r="D116" i="1"/>
  <c r="F133" i="1"/>
  <c r="H113" i="1"/>
  <c r="H125" i="1"/>
  <c r="J120" i="1"/>
  <c r="D122" i="1"/>
  <c r="D133" i="1"/>
  <c r="J62" i="1"/>
  <c r="J74" i="1"/>
  <c r="J87" i="1"/>
  <c r="J102" i="1"/>
  <c r="C47" i="1"/>
  <c r="D15" i="1" s="1"/>
  <c r="H32" i="1"/>
  <c r="H20" i="1"/>
  <c r="H43" i="1"/>
  <c r="H30" i="1"/>
  <c r="H22" i="1"/>
  <c r="H29" i="1"/>
  <c r="H23" i="1"/>
  <c r="H40" i="1"/>
  <c r="H39" i="1"/>
  <c r="H13" i="1"/>
  <c r="H14" i="1"/>
  <c r="H26" i="1"/>
  <c r="H15" i="1"/>
  <c r="H27" i="1"/>
  <c r="H16" i="1"/>
  <c r="H35" i="1"/>
  <c r="H17" i="1"/>
  <c r="J35" i="1"/>
  <c r="J17" i="1"/>
  <c r="J34" i="1"/>
  <c r="J18" i="1"/>
  <c r="J33" i="1"/>
  <c r="J19" i="1"/>
  <c r="J45" i="1"/>
  <c r="J32" i="1"/>
  <c r="J20" i="1"/>
  <c r="J44" i="1"/>
  <c r="J31" i="1"/>
  <c r="J21" i="1"/>
  <c r="J43" i="1"/>
  <c r="J30" i="1"/>
  <c r="J22" i="1"/>
  <c r="J42" i="1"/>
  <c r="J29" i="1"/>
  <c r="J23" i="1"/>
  <c r="J40" i="1"/>
  <c r="J12" i="1"/>
  <c r="J24" i="1"/>
  <c r="J39" i="1"/>
  <c r="J13" i="1"/>
  <c r="J25" i="1"/>
  <c r="J38" i="1"/>
  <c r="J14" i="1"/>
  <c r="J26" i="1"/>
  <c r="J11" i="1"/>
  <c r="J27" i="1"/>
  <c r="J16" i="1"/>
  <c r="J15" i="1"/>
  <c r="J36" i="1"/>
  <c r="J37" i="1"/>
  <c r="H18" i="1"/>
  <c r="H23" i="3" l="1"/>
  <c r="F23" i="3"/>
  <c r="H22" i="3"/>
  <c r="H20" i="3"/>
  <c r="H19" i="3"/>
  <c r="E151" i="4"/>
  <c r="E2" i="4"/>
  <c r="I47" i="4"/>
  <c r="E47" i="4"/>
  <c r="G47" i="4"/>
  <c r="I1" i="4"/>
  <c r="C47" i="4"/>
  <c r="H93" i="1"/>
  <c r="H65" i="1"/>
  <c r="H94" i="1"/>
  <c r="H51" i="1"/>
  <c r="H63" i="1"/>
  <c r="H103" i="1"/>
  <c r="H52" i="1"/>
  <c r="H64" i="1"/>
  <c r="H89" i="1"/>
  <c r="I130" i="2"/>
  <c r="I135" i="2" s="1"/>
  <c r="I137" i="2" s="1"/>
  <c r="I139" i="2" s="1"/>
  <c r="I104" i="2" s="1"/>
  <c r="I102" i="2" s="1"/>
  <c r="I156" i="2"/>
  <c r="I157" i="2" s="1"/>
  <c r="I160" i="2" s="1"/>
  <c r="G130" i="2"/>
  <c r="G135" i="2" s="1"/>
  <c r="G137" i="2" s="1"/>
  <c r="G139" i="2" s="1"/>
  <c r="G104" i="2" s="1"/>
  <c r="G102" i="2" s="1"/>
  <c r="G156" i="2"/>
  <c r="G157" i="2" s="1"/>
  <c r="G160" i="2" s="1"/>
  <c r="E130" i="2"/>
  <c r="E135" i="2" s="1"/>
  <c r="E137" i="2" s="1"/>
  <c r="E139" i="2" s="1"/>
  <c r="E104" i="2" s="1"/>
  <c r="E102" i="2" s="1"/>
  <c r="E156" i="2"/>
  <c r="E157" i="2" s="1"/>
  <c r="E160" i="2" s="1"/>
  <c r="C130" i="2"/>
  <c r="C135" i="2" s="1"/>
  <c r="C137" i="2" s="1"/>
  <c r="C139" i="2" s="1"/>
  <c r="C104" i="2" s="1"/>
  <c r="C102" i="2" s="1"/>
  <c r="C156" i="2"/>
  <c r="C157" i="2" s="1"/>
  <c r="C160" i="2" s="1"/>
  <c r="G3" i="2"/>
  <c r="F20" i="3"/>
  <c r="F19" i="3"/>
  <c r="D19" i="3"/>
  <c r="H17" i="3"/>
  <c r="F17" i="3"/>
  <c r="D17" i="3"/>
  <c r="H16" i="3"/>
  <c r="F16" i="3"/>
  <c r="D16" i="3"/>
  <c r="H15" i="3"/>
  <c r="F15" i="3"/>
  <c r="D15" i="3"/>
  <c r="H14" i="3"/>
  <c r="F14" i="3"/>
  <c r="D14" i="3"/>
  <c r="H13" i="3"/>
  <c r="I7" i="3"/>
  <c r="G7" i="3"/>
  <c r="E7" i="3"/>
  <c r="C7" i="3"/>
  <c r="I3" i="3"/>
  <c r="G3" i="3"/>
  <c r="E3" i="3"/>
  <c r="C3" i="3"/>
  <c r="F22" i="3"/>
  <c r="C168" i="4"/>
  <c r="D23" i="3"/>
  <c r="D20" i="3"/>
  <c r="I3" i="2"/>
  <c r="E3" i="2"/>
  <c r="C3" i="2"/>
  <c r="G145" i="4"/>
  <c r="E21" i="3" s="1"/>
  <c r="E18" i="3"/>
  <c r="C124" i="4"/>
  <c r="B5" i="3" s="1"/>
  <c r="C5" i="3" s="1"/>
  <c r="B4" i="3"/>
  <c r="C4" i="3" s="1"/>
  <c r="C145" i="4"/>
  <c r="B21" i="3" s="1"/>
  <c r="D21" i="3" s="1"/>
  <c r="B18" i="3"/>
  <c r="D18" i="3" s="1"/>
  <c r="E124" i="4"/>
  <c r="D4" i="3"/>
  <c r="E4" i="3" s="1"/>
  <c r="G124" i="4"/>
  <c r="F5" i="3" s="1"/>
  <c r="G5" i="3" s="1"/>
  <c r="F4" i="3"/>
  <c r="G4" i="3" s="1"/>
  <c r="I124" i="4"/>
  <c r="H5" i="3" s="1"/>
  <c r="I5" i="3" s="1"/>
  <c r="H4" i="3"/>
  <c r="I4" i="3" s="1"/>
  <c r="D22" i="3"/>
  <c r="E150" i="4"/>
  <c r="G168" i="4"/>
  <c r="G3" i="4"/>
  <c r="E130" i="4"/>
  <c r="C3" i="4"/>
  <c r="G130" i="4"/>
  <c r="G156" i="4"/>
  <c r="G157" i="4" s="1"/>
  <c r="I156" i="4"/>
  <c r="I157" i="4" s="1"/>
  <c r="I130" i="4"/>
  <c r="H37" i="1"/>
  <c r="H44" i="1"/>
  <c r="H75" i="1"/>
  <c r="H74" i="1"/>
  <c r="H99" i="1"/>
  <c r="H24" i="1"/>
  <c r="H47" i="1"/>
  <c r="H36" i="1"/>
  <c r="H42" i="1"/>
  <c r="H104" i="1"/>
  <c r="H62" i="1"/>
  <c r="H90" i="1"/>
  <c r="H38" i="1"/>
  <c r="H31" i="1"/>
  <c r="H76" i="1"/>
  <c r="H79" i="1"/>
  <c r="H61" i="1"/>
  <c r="H81" i="1"/>
  <c r="H19" i="1"/>
  <c r="H11" i="1"/>
  <c r="H12" i="1"/>
  <c r="H45" i="1"/>
  <c r="H88" i="1"/>
  <c r="H59" i="1"/>
  <c r="H57" i="1"/>
  <c r="H101" i="1"/>
  <c r="F33" i="1"/>
  <c r="F18" i="1"/>
  <c r="H34" i="1"/>
  <c r="H25" i="1"/>
  <c r="H21" i="1"/>
  <c r="H80" i="1"/>
  <c r="H91" i="1"/>
  <c r="H58" i="1"/>
  <c r="H67" i="1"/>
  <c r="H69" i="1"/>
  <c r="H86" i="1"/>
  <c r="H102" i="1"/>
  <c r="F44" i="1"/>
  <c r="F77" i="1"/>
  <c r="F13" i="1"/>
  <c r="F24" i="1"/>
  <c r="F43" i="1"/>
  <c r="F29" i="1"/>
  <c r="F91" i="1"/>
  <c r="F30" i="1"/>
  <c r="F36" i="1"/>
  <c r="F79" i="1"/>
  <c r="F27" i="1"/>
  <c r="F66" i="1"/>
  <c r="F76" i="1"/>
  <c r="F23" i="1"/>
  <c r="F104" i="1"/>
  <c r="F42" i="1"/>
  <c r="F89" i="1"/>
  <c r="F15" i="1"/>
  <c r="F54" i="1"/>
  <c r="F64" i="1"/>
  <c r="F34" i="1"/>
  <c r="F40" i="1"/>
  <c r="F65" i="1"/>
  <c r="F31" i="1"/>
  <c r="F53" i="1"/>
  <c r="F11" i="1"/>
  <c r="F21" i="1"/>
  <c r="F37" i="1"/>
  <c r="F32" i="1"/>
  <c r="F26" i="1"/>
  <c r="F22" i="1"/>
  <c r="F45" i="1"/>
  <c r="F14" i="1"/>
  <c r="F17" i="1"/>
  <c r="F19" i="1"/>
  <c r="F38" i="1"/>
  <c r="G130" i="1"/>
  <c r="G135" i="1" s="1"/>
  <c r="G137" i="1" s="1"/>
  <c r="G139" i="1" s="1"/>
  <c r="G104" i="1" s="1"/>
  <c r="G102" i="1" s="1"/>
  <c r="G156" i="1"/>
  <c r="G157" i="1" s="1"/>
  <c r="G160" i="1" s="1"/>
  <c r="F25" i="1"/>
  <c r="F52" i="1"/>
  <c r="E130" i="1"/>
  <c r="E135" i="1" s="1"/>
  <c r="E137" i="1" s="1"/>
  <c r="E139" i="1" s="1"/>
  <c r="E104" i="1" s="1"/>
  <c r="E102" i="1" s="1"/>
  <c r="E156" i="1"/>
  <c r="E157" i="1" s="1"/>
  <c r="F35" i="1"/>
  <c r="F39" i="1"/>
  <c r="F20" i="1"/>
  <c r="F16" i="1"/>
  <c r="F12" i="1"/>
  <c r="I130" i="1"/>
  <c r="I135" i="1" s="1"/>
  <c r="I137" i="1" s="1"/>
  <c r="I139" i="1" s="1"/>
  <c r="I104" i="1" s="1"/>
  <c r="I102" i="1" s="1"/>
  <c r="I156" i="1"/>
  <c r="I157" i="1" s="1"/>
  <c r="I160" i="1" s="1"/>
  <c r="E160" i="1"/>
  <c r="C130" i="1"/>
  <c r="C135" i="1" s="1"/>
  <c r="C137" i="1" s="1"/>
  <c r="C139" i="1" s="1"/>
  <c r="C104" i="1" s="1"/>
  <c r="C102" i="1" s="1"/>
  <c r="D102" i="1" s="1"/>
  <c r="C156" i="1"/>
  <c r="C157" i="1" s="1"/>
  <c r="C160" i="1" s="1"/>
  <c r="D29" i="1"/>
  <c r="D40" i="1"/>
  <c r="D27" i="1"/>
  <c r="D39" i="1"/>
  <c r="D33" i="1"/>
  <c r="D31" i="1"/>
  <c r="D25" i="1"/>
  <c r="D34" i="1"/>
  <c r="D11" i="1"/>
  <c r="D45" i="1"/>
  <c r="F93" i="1"/>
  <c r="F102" i="1"/>
  <c r="F83" i="1"/>
  <c r="F67" i="1"/>
  <c r="F101" i="1"/>
  <c r="F82" i="1"/>
  <c r="F63" i="1"/>
  <c r="F47" i="1"/>
  <c r="F99" i="1"/>
  <c r="F81" i="1"/>
  <c r="F62" i="1"/>
  <c r="F97" i="1"/>
  <c r="F80" i="1"/>
  <c r="F61" i="1"/>
  <c r="F95" i="1"/>
  <c r="F75" i="1"/>
  <c r="F60" i="1"/>
  <c r="F94" i="1"/>
  <c r="F74" i="1"/>
  <c r="F59" i="1"/>
  <c r="F92" i="1"/>
  <c r="F73" i="1"/>
  <c r="F70" i="1"/>
  <c r="F69" i="1"/>
  <c r="F68" i="1"/>
  <c r="F58" i="1"/>
  <c r="F103" i="1"/>
  <c r="F57" i="1"/>
  <c r="F55" i="1"/>
  <c r="F86" i="1"/>
  <c r="F56" i="1"/>
  <c r="F51" i="1"/>
  <c r="F84" i="1"/>
  <c r="F72" i="1"/>
  <c r="F71" i="1"/>
  <c r="F88" i="1"/>
  <c r="F87" i="1"/>
  <c r="F85" i="1"/>
  <c r="D14" i="1"/>
  <c r="D38" i="1"/>
  <c r="D19" i="1"/>
  <c r="D32" i="1"/>
  <c r="D13" i="1"/>
  <c r="D30" i="1"/>
  <c r="D20" i="1"/>
  <c r="D95" i="1"/>
  <c r="D83" i="1"/>
  <c r="D59" i="1"/>
  <c r="D71" i="1"/>
  <c r="D82" i="1"/>
  <c r="D60" i="1"/>
  <c r="D88" i="1"/>
  <c r="D67" i="1"/>
  <c r="D99" i="1"/>
  <c r="D58" i="1"/>
  <c r="D94" i="1"/>
  <c r="D72" i="1"/>
  <c r="D54" i="1"/>
  <c r="D101" i="1"/>
  <c r="D56" i="1"/>
  <c r="D57" i="1"/>
  <c r="D97" i="1"/>
  <c r="D93" i="1"/>
  <c r="D81" i="1"/>
  <c r="D61" i="1"/>
  <c r="D73" i="1"/>
  <c r="D92" i="1"/>
  <c r="D80" i="1"/>
  <c r="D62" i="1"/>
  <c r="D74" i="1"/>
  <c r="D91" i="1"/>
  <c r="D79" i="1"/>
  <c r="D63" i="1"/>
  <c r="D75" i="1"/>
  <c r="D90" i="1"/>
  <c r="D52" i="1"/>
  <c r="D64" i="1"/>
  <c r="D76" i="1"/>
  <c r="D89" i="1"/>
  <c r="D53" i="1"/>
  <c r="D65" i="1"/>
  <c r="D77" i="1"/>
  <c r="D103" i="1"/>
  <c r="D66" i="1"/>
  <c r="D51" i="1"/>
  <c r="D87" i="1"/>
  <c r="D55" i="1"/>
  <c r="D86" i="1"/>
  <c r="D68" i="1"/>
  <c r="D85" i="1"/>
  <c r="D69" i="1"/>
  <c r="D84" i="1"/>
  <c r="D70" i="1"/>
  <c r="D26" i="1"/>
  <c r="D22" i="1"/>
  <c r="D47" i="1"/>
  <c r="D42" i="1"/>
  <c r="D16" i="1"/>
  <c r="D44" i="1"/>
  <c r="D37" i="1"/>
  <c r="D24" i="1"/>
  <c r="D18" i="1"/>
  <c r="D12" i="1"/>
  <c r="D23" i="1"/>
  <c r="D43" i="1"/>
  <c r="D36" i="1"/>
  <c r="D35" i="1"/>
  <c r="D17" i="1"/>
  <c r="D21" i="1"/>
  <c r="I3" i="4" l="1"/>
  <c r="E3" i="4"/>
  <c r="C156" i="4"/>
  <c r="C157" i="4" s="1"/>
  <c r="C130" i="4"/>
  <c r="H21" i="3"/>
  <c r="F21" i="3"/>
  <c r="H18" i="3"/>
  <c r="F18" i="3"/>
  <c r="D5" i="3"/>
  <c r="E5" i="3" s="1"/>
  <c r="E156" i="4"/>
  <c r="E157" i="4" s="1"/>
  <c r="E160" i="4" s="1"/>
  <c r="C24" i="3" s="1"/>
  <c r="E135" i="4"/>
  <c r="E137" i="4" s="1"/>
  <c r="E139" i="4" s="1"/>
  <c r="D8" i="3"/>
  <c r="E8" i="3" s="1"/>
  <c r="G135" i="4"/>
  <c r="G137" i="4" s="1"/>
  <c r="G139" i="4" s="1"/>
  <c r="F8" i="3"/>
  <c r="G8" i="3" s="1"/>
  <c r="G160" i="4"/>
  <c r="E24" i="3" s="1"/>
  <c r="F10" i="3"/>
  <c r="G10" i="3" s="1"/>
  <c r="F9" i="3"/>
  <c r="G9" i="3" s="1"/>
  <c r="I160" i="4"/>
  <c r="G24" i="3" s="1"/>
  <c r="H10" i="3"/>
  <c r="I10" i="3" s="1"/>
  <c r="H9" i="3"/>
  <c r="I9" i="3" s="1"/>
  <c r="I135" i="4"/>
  <c r="I137" i="4" s="1"/>
  <c r="I139" i="4" s="1"/>
  <c r="H8" i="3"/>
  <c r="I8" i="3" s="1"/>
  <c r="D104" i="1"/>
  <c r="C160" i="4" l="1"/>
  <c r="B24" i="3" s="1"/>
  <c r="B10" i="3"/>
  <c r="C10" i="3" s="1"/>
  <c r="B9" i="3"/>
  <c r="C9" i="3" s="1"/>
  <c r="C135" i="4"/>
  <c r="C137" i="4" s="1"/>
  <c r="C139" i="4" s="1"/>
  <c r="B8" i="3"/>
  <c r="C8" i="3" s="1"/>
  <c r="D9" i="3"/>
  <c r="E9" i="3" s="1"/>
  <c r="D10" i="3"/>
  <c r="E10" i="3" s="1"/>
  <c r="D6" i="3"/>
  <c r="E6" i="3" s="1"/>
  <c r="E104" i="4"/>
  <c r="E102" i="4" s="1"/>
  <c r="F6" i="3"/>
  <c r="G6" i="3" s="1"/>
  <c r="G104" i="4"/>
  <c r="G102" i="4" s="1"/>
  <c r="H6" i="3"/>
  <c r="I6" i="3" s="1"/>
  <c r="I104" i="4"/>
  <c r="I102" i="4" s="1"/>
  <c r="C104" i="4" l="1"/>
  <c r="C102" i="4" s="1"/>
  <c r="B6" i="3"/>
  <c r="C6" i="3" s="1"/>
  <c r="F114" i="4" l="1"/>
  <c r="F126" i="4"/>
  <c r="F139" i="4"/>
  <c r="F135" i="4"/>
  <c r="F127" i="4"/>
  <c r="F111" i="4"/>
  <c r="F118" i="4"/>
  <c r="F122" i="4"/>
  <c r="H114" i="4"/>
  <c r="F113" i="4"/>
  <c r="H124" i="4"/>
  <c r="H111" i="4"/>
  <c r="H115" i="4"/>
  <c r="J114" i="4"/>
  <c r="F136" i="4"/>
  <c r="J134" i="4"/>
  <c r="F116" i="4"/>
  <c r="F121" i="4"/>
  <c r="F123" i="4"/>
  <c r="F137" i="4"/>
  <c r="F115" i="4"/>
  <c r="H113" i="4"/>
  <c r="H133" i="4"/>
  <c r="H127" i="4"/>
  <c r="H128" i="4"/>
  <c r="H132" i="4"/>
  <c r="J135" i="4"/>
  <c r="H118" i="4"/>
  <c r="J124" i="4"/>
  <c r="H126" i="4"/>
  <c r="F128" i="4"/>
  <c r="D114" i="4"/>
  <c r="D115" i="4"/>
  <c r="D116" i="4"/>
  <c r="D128" i="4"/>
  <c r="D135" i="4"/>
  <c r="D127" i="4"/>
  <c r="D132" i="4"/>
  <c r="D111" i="4"/>
  <c r="D136" i="4"/>
  <c r="D125" i="4"/>
  <c r="D131" i="4"/>
  <c r="D119" i="4"/>
  <c r="D138" i="4"/>
  <c r="D118" i="4"/>
  <c r="H120" i="4"/>
  <c r="J127" i="4"/>
  <c r="J122" i="4"/>
  <c r="H129" i="4"/>
  <c r="H135" i="4"/>
  <c r="H122" i="4"/>
  <c r="H130" i="4"/>
  <c r="H134" i="4"/>
  <c r="H137" i="4"/>
  <c r="J115" i="4"/>
  <c r="J138" i="4"/>
  <c r="F119" i="4"/>
  <c r="J120" i="4"/>
  <c r="F117" i="4"/>
  <c r="H117" i="4"/>
  <c r="H138" i="4"/>
  <c r="H116" i="4"/>
  <c r="H125" i="4"/>
  <c r="H139" i="4"/>
  <c r="J130" i="4"/>
  <c r="J128" i="4"/>
  <c r="J133" i="4"/>
  <c r="F125" i="4"/>
  <c r="J112" i="4"/>
  <c r="J132" i="4"/>
  <c r="J119" i="4"/>
  <c r="J123" i="4"/>
  <c r="J126" i="4"/>
  <c r="J118" i="4"/>
  <c r="J117" i="4"/>
  <c r="F131" i="4"/>
  <c r="F133" i="4"/>
  <c r="J139" i="4"/>
  <c r="H112" i="4"/>
  <c r="J111" i="4"/>
  <c r="J113" i="4"/>
  <c r="F112" i="4"/>
  <c r="F120" i="4"/>
  <c r="F129" i="4"/>
  <c r="J129" i="4"/>
  <c r="J136" i="4"/>
  <c r="F130" i="4"/>
  <c r="J131" i="4"/>
  <c r="F134" i="4"/>
  <c r="H121" i="4"/>
  <c r="H131" i="4"/>
  <c r="J137" i="4"/>
  <c r="J121" i="4"/>
  <c r="H136" i="4"/>
  <c r="H123" i="4"/>
  <c r="H119" i="4"/>
  <c r="F138" i="4"/>
  <c r="F132" i="4"/>
  <c r="F124" i="4"/>
  <c r="D122" i="4"/>
  <c r="J116" i="4"/>
  <c r="J125" i="4"/>
  <c r="D112" i="4"/>
  <c r="D130" i="4"/>
  <c r="D117" i="4"/>
  <c r="D139" i="4"/>
  <c r="D137" i="4"/>
  <c r="D126" i="4"/>
  <c r="D133" i="4"/>
  <c r="D113" i="4"/>
  <c r="D120" i="4"/>
  <c r="D129" i="4"/>
  <c r="D123" i="4"/>
  <c r="D124" i="4"/>
  <c r="D134" i="4"/>
  <c r="D121" i="4"/>
</calcChain>
</file>

<file path=xl/sharedStrings.xml><?xml version="1.0" encoding="utf-8"?>
<sst xmlns="http://schemas.openxmlformats.org/spreadsheetml/2006/main" count="544" uniqueCount="145">
  <si>
    <t>TOTAL ATIVO</t>
  </si>
  <si>
    <t>TOTAL PASSIVO</t>
  </si>
  <si>
    <t>DIFERENÇA</t>
  </si>
  <si>
    <t>EMPRESA 1 LTDA</t>
  </si>
  <si>
    <t>BALANÇO PATRIMONIAL</t>
  </si>
  <si>
    <t>ATIVO</t>
  </si>
  <si>
    <t>R$ MIL</t>
  </si>
  <si>
    <t>CIRCULANTE</t>
  </si>
  <si>
    <t>Caixa e Bancos</t>
  </si>
  <si>
    <t>Aplicações Financeiras</t>
  </si>
  <si>
    <t>Contas a Receber</t>
  </si>
  <si>
    <t>Cooperados</t>
  </si>
  <si>
    <t>CVA</t>
  </si>
  <si>
    <t>Estoques</t>
  </si>
  <si>
    <t>Adiant. a Fornecedores</t>
  </si>
  <si>
    <t>Créditos a Fumicultores</t>
  </si>
  <si>
    <t>Despesas Antecipadas</t>
  </si>
  <si>
    <t>Impostos a Recuperar</t>
  </si>
  <si>
    <t>Dividendos a Receber</t>
  </si>
  <si>
    <t>Imposto Diferido</t>
  </si>
  <si>
    <t>Outros Operac.</t>
  </si>
  <si>
    <t>Outros Nao Operac.</t>
  </si>
  <si>
    <t>REALIZ. L.P.</t>
  </si>
  <si>
    <t>C/C Coligadas/Acionistas</t>
  </si>
  <si>
    <t>Depósitos Judiciais</t>
  </si>
  <si>
    <t>CTN´s</t>
  </si>
  <si>
    <t>PERMANENTE</t>
  </si>
  <si>
    <t>Imobilizado Técnico</t>
  </si>
  <si>
    <t>Investimentos</t>
  </si>
  <si>
    <t>Diferido/Intangível</t>
  </si>
  <si>
    <t>TOTAL</t>
  </si>
  <si>
    <t>PASSIVO</t>
  </si>
  <si>
    <t>Fornecedores Nacionais</t>
  </si>
  <si>
    <t>Fornecedores Estrangeiros</t>
  </si>
  <si>
    <t>Empréstimos Bancários</t>
  </si>
  <si>
    <t>Financiamentos Operacionais</t>
  </si>
  <si>
    <t>Financiamentos c/ Tradings</t>
  </si>
  <si>
    <t>Parcelas Correntes Financ. L.P.</t>
  </si>
  <si>
    <t>Debêntures</t>
  </si>
  <si>
    <t>Swap</t>
  </si>
  <si>
    <t>Securitização</t>
  </si>
  <si>
    <t>Leasing</t>
  </si>
  <si>
    <t>Salários e Encargos</t>
  </si>
  <si>
    <t>Tributos e Obrigações Fiscais</t>
  </si>
  <si>
    <t>Tributos Parcelados</t>
  </si>
  <si>
    <t>Adiantamento de Clientes</t>
  </si>
  <si>
    <t>Custo Orçado</t>
  </si>
  <si>
    <t>Terrenos</t>
  </si>
  <si>
    <t>Outorga</t>
  </si>
  <si>
    <t>Compromissos Consorciados</t>
  </si>
  <si>
    <t>Plano de Previdênciário</t>
  </si>
  <si>
    <t>Dividendos a pagar</t>
  </si>
  <si>
    <t>Provisão para Contingência</t>
  </si>
  <si>
    <t>EXIGÍVEL L.P.</t>
  </si>
  <si>
    <t>Empréstimos e Financiamentos</t>
  </si>
  <si>
    <t>RES. EXERC. FUT.</t>
  </si>
  <si>
    <t>PARTIC. MINORIT.</t>
  </si>
  <si>
    <t>PATRIMÔNIO  LÍQUIDO</t>
  </si>
  <si>
    <t>Capital e Reservas</t>
  </si>
  <si>
    <t>Reservas de Reavaliação</t>
  </si>
  <si>
    <t>Resultado do Período</t>
  </si>
  <si>
    <t>DEMONSTRATIVO DE RESULTADOS</t>
  </si>
  <si>
    <t>JAN/2022-DEZ/2022</t>
  </si>
  <si>
    <t>N° MESES DO PERIODO</t>
  </si>
  <si>
    <t>JAN/2023-DEZ/2023</t>
  </si>
  <si>
    <t>JAN/2024-DEZ/2024</t>
  </si>
  <si>
    <t>JAN/2025-DEZ/2025</t>
  </si>
  <si>
    <t>R$MIL</t>
  </si>
  <si>
    <t>FATUR. BRUTO</t>
  </si>
  <si>
    <t>Impostos/Deduções</t>
  </si>
  <si>
    <t>FATUR. LÍQUIDO</t>
  </si>
  <si>
    <t>Custos</t>
  </si>
  <si>
    <t>RES. BRUTO</t>
  </si>
  <si>
    <t>Desps. Operac.</t>
  </si>
  <si>
    <t>-Despesas Comerciais</t>
  </si>
  <si>
    <t>-Despesas Administrativas</t>
  </si>
  <si>
    <t>-Despesas c/ Depreciação</t>
  </si>
  <si>
    <t>RES. ATIVIDADE</t>
  </si>
  <si>
    <t>Despesas/(Receitas) Financ. Líq.</t>
  </si>
  <si>
    <t>- Despesas Financeiras</t>
  </si>
  <si>
    <t>- Receitas Financeiras</t>
  </si>
  <si>
    <t>Variações Monetárias Líq. LP</t>
  </si>
  <si>
    <t>Outras Rec./(Desp.) Operac.</t>
  </si>
  <si>
    <t>RES. OPERACIONAL</t>
  </si>
  <si>
    <t>Equivalência Patrimonial</t>
  </si>
  <si>
    <t>Res. não Operacional</t>
  </si>
  <si>
    <t>Correção Monetária</t>
  </si>
  <si>
    <t>Desp. c/ Amortização de Ágio/(Deságio)</t>
  </si>
  <si>
    <t>RES. ANTES I.R./CONTR. SOC.</t>
  </si>
  <si>
    <t>Prov. I.R./Contrib. Soc.</t>
  </si>
  <si>
    <t>RES. ANTES DA PART. MINOR.</t>
  </si>
  <si>
    <t>Participação Minoritária</t>
  </si>
  <si>
    <t>RES. LÍQUIDO</t>
  </si>
  <si>
    <t>(%)</t>
  </si>
  <si>
    <t>- Depreciação/Amortização</t>
  </si>
  <si>
    <t>- Depreciação/Amortização Estimada</t>
  </si>
  <si>
    <t>- Arrendamento Mercantil</t>
  </si>
  <si>
    <t>- Custos Diretos</t>
  </si>
  <si>
    <t>ENDIVIDAMENTO FINANCEIRO/ESTRUTURA DE CAPITAL</t>
  </si>
  <si>
    <t>END. FINANC.LÍQUIDO TOTAL</t>
  </si>
  <si>
    <t>END. FINANC. C.P.</t>
  </si>
  <si>
    <t>END. FINANC. L.P.</t>
  </si>
  <si>
    <t>END.FINANC. TOTAL</t>
  </si>
  <si>
    <t>DISPONIBILIDADE</t>
  </si>
  <si>
    <t>DISPONIBILIDADES</t>
  </si>
  <si>
    <t>CAPITAL CIRCULANTE LÍQUIDO</t>
  </si>
  <si>
    <t>CAPITAL DE GIRO PRÓPRIO</t>
  </si>
  <si>
    <t>RATIOS/INDICADORES ECO-FINANCEIROS</t>
  </si>
  <si>
    <t>I - RATIOS</t>
  </si>
  <si>
    <t>EBIT ANUAL</t>
  </si>
  <si>
    <t>EBITDA ANUAL</t>
  </si>
  <si>
    <t>Margem EBITDA</t>
  </si>
  <si>
    <t>EBITDA/Despesa Finan.Liq</t>
  </si>
  <si>
    <t>Dívida Líquida/EBITDA</t>
  </si>
  <si>
    <t>II - INDICADORES</t>
  </si>
  <si>
    <t>Fatur. Líq. Médio Mensal (R$ mil)</t>
  </si>
  <si>
    <t>Prazos Médios em Dias</t>
  </si>
  <si>
    <t>-Prazo médio de Renovação dos Estoques</t>
  </si>
  <si>
    <t>-Prazo Médio de Recebimentos das Vendas</t>
  </si>
  <si>
    <t>-Prazo Médio de Pagamentos a Fornecedores</t>
  </si>
  <si>
    <t>-Ciclo Financeiro</t>
  </si>
  <si>
    <t>RECEITA BRUTA</t>
  </si>
  <si>
    <t>RECEITA LÍQUIDA</t>
  </si>
  <si>
    <t>RESULTADO BRUTO</t>
  </si>
  <si>
    <t>RESULTADO ATIVIDADE</t>
  </si>
  <si>
    <t>RESULTADO LÍQUIDO</t>
  </si>
  <si>
    <t>DESPESA FINANCEIRA LÍQ.</t>
  </si>
  <si>
    <t>RESULTADO OPERACIONAL</t>
  </si>
  <si>
    <t>EBITDA</t>
  </si>
  <si>
    <t>GERAÇÃO DE CAIXA APÓS DF</t>
  </si>
  <si>
    <t>CONTAS A RECEBER</t>
  </si>
  <si>
    <t>ESTOQUE</t>
  </si>
  <si>
    <t>IMOBILIZADO</t>
  </si>
  <si>
    <t>FORNECEDORES</t>
  </si>
  <si>
    <t>DÍVIDA TOTAL</t>
  </si>
  <si>
    <t>CURTO PRAZO</t>
  </si>
  <si>
    <t>LONGO PRAZO</t>
  </si>
  <si>
    <t>DÍVIDA LÍQUIDA</t>
  </si>
  <si>
    <t>ATIVO CIRCULANTE</t>
  </si>
  <si>
    <t>PATRIMONIO LÍQUIDO</t>
  </si>
  <si>
    <t>DÍVIDA LÍQUIDA/EBITDA</t>
  </si>
  <si>
    <t>A.V. %</t>
  </si>
  <si>
    <t>VAR.</t>
  </si>
  <si>
    <t>EMPRESA 2 LTDA</t>
  </si>
  <si>
    <t>GRUPO ECONOMICO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</si>
</sst>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2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6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1" applyFont="1" applyBorder="1"/>
    <xf numFmtId="9" fontId="0" fillId="0" borderId="3" xfId="1" applyFont="1" applyBorder="1"/>
    <xf numFmtId="0" fontId="2" fillId="0" borderId="2" xfId="0" applyFont="1" applyBorder="1" applyAlignment="1">
      <alignment vertical="center"/>
    </xf>
    <xf numFmtId="37" fontId="2" fillId="0" borderId="2" xfId="0" applyNumberFormat="1" applyFont="1" applyBorder="1" applyAlignment="1">
      <alignment vertical="center"/>
    </xf>
    <xf numFmtId="37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37" fontId="2" fillId="0" borderId="5" xfId="0" applyNumberFormat="1" applyFont="1" applyBorder="1" applyAlignment="1">
      <alignment vertical="center"/>
    </xf>
    <xf numFmtId="0" fontId="0" fillId="0" borderId="6" xfId="0" applyBorder="1"/>
    <xf numFmtId="9" fontId="0" fillId="0" borderId="6" xfId="1" applyFont="1" applyBorder="1"/>
    <xf numFmtId="9" fontId="0" fillId="0" borderId="7" xfId="1" applyFont="1" applyBorder="1"/>
    <xf numFmtId="0" fontId="7" fillId="0" borderId="0" xfId="0" applyFont="1"/>
    <xf numFmtId="0" fontId="2" fillId="0" borderId="2" xfId="0" quotePrefix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7" fillId="0" borderId="6" xfId="0" applyFont="1" applyBorder="1"/>
    <xf numFmtId="0" fontId="0" fillId="0" borderId="7" xfId="0" applyBorder="1"/>
    <xf numFmtId="0" fontId="6" fillId="0" borderId="2" xfId="0" applyFont="1" applyBorder="1"/>
    <xf numFmtId="0" fontId="6" fillId="0" borderId="0" xfId="0" applyFont="1"/>
    <xf numFmtId="0" fontId="6" fillId="0" borderId="3" xfId="0" applyFont="1" applyBorder="1"/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6" fillId="0" borderId="9" xfId="0" applyFont="1" applyBorder="1"/>
    <xf numFmtId="9" fontId="6" fillId="0" borderId="9" xfId="1" applyFont="1" applyBorder="1"/>
    <xf numFmtId="9" fontId="6" fillId="0" borderId="10" xfId="1" applyFont="1" applyBorder="1"/>
    <xf numFmtId="17" fontId="6" fillId="0" borderId="0" xfId="0" applyNumberFormat="1" applyFont="1" applyAlignment="1">
      <alignment horizontal="center"/>
    </xf>
    <xf numFmtId="0" fontId="0" fillId="0" borderId="11" xfId="0" applyBorder="1"/>
    <xf numFmtId="0" fontId="0" fillId="0" borderId="12" xfId="0" applyBorder="1"/>
    <xf numFmtId="0" fontId="6" fillId="0" borderId="11" xfId="0" applyFont="1" applyBorder="1"/>
    <xf numFmtId="0" fontId="0" fillId="0" borderId="0" xfId="0" applyAlignment="1">
      <alignment horizontal="right"/>
    </xf>
    <xf numFmtId="0" fontId="2" fillId="0" borderId="11" xfId="0" quotePrefix="1" applyFont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2" fillId="0" borderId="11" xfId="0" quotePrefix="1" applyFont="1" applyBorder="1" applyAlignment="1">
      <alignment vertical="center"/>
    </xf>
    <xf numFmtId="0" fontId="2" fillId="0" borderId="13" xfId="0" quotePrefix="1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6" fillId="0" borderId="17" xfId="0" applyFont="1" applyBorder="1"/>
    <xf numFmtId="0" fontId="6" fillId="0" borderId="18" xfId="0" applyFont="1" applyBorder="1"/>
    <xf numFmtId="0" fontId="0" fillId="0" borderId="19" xfId="0" applyBorder="1"/>
    <xf numFmtId="0" fontId="0" fillId="0" borderId="16" xfId="0" applyBorder="1"/>
    <xf numFmtId="0" fontId="0" fillId="3" borderId="16" xfId="0" applyFill="1" applyBorder="1"/>
    <xf numFmtId="0" fontId="8" fillId="3" borderId="16" xfId="0" applyFont="1" applyFill="1" applyBorder="1"/>
    <xf numFmtId="17" fontId="0" fillId="4" borderId="16" xfId="0" applyNumberForma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/>
    <xf numFmtId="0" fontId="0" fillId="4" borderId="16" xfId="0" applyFill="1" applyBorder="1"/>
    <xf numFmtId="9" fontId="0" fillId="3" borderId="16" xfId="1" applyFont="1" applyFill="1" applyBorder="1"/>
    <xf numFmtId="0" fontId="0" fillId="5" borderId="0" xfId="0" applyFill="1"/>
    <xf numFmtId="0" fontId="6" fillId="5" borderId="0" xfId="0" applyFont="1" applyFill="1"/>
    <xf numFmtId="0" fontId="7" fillId="5" borderId="0" xfId="0" applyFont="1" applyFill="1"/>
    <xf numFmtId="17" fontId="6" fillId="5" borderId="0" xfId="0" applyNumberFormat="1" applyFont="1" applyFill="1" applyAlignment="1">
      <alignment horizontal="center"/>
    </xf>
    <xf numFmtId="0" fontId="0" fillId="0" borderId="1" xfId="0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68"/>
  <sheetViews>
    <sheetView tabSelected="1" topLeftCell="A8" zoomScale="85" zoomScaleNormal="85" workbookViewId="0">
      <selection activeCell="C52" sqref="C52:C77"/>
    </sheetView>
  </sheetViews>
  <sheetFormatPr defaultRowHeight="15" x14ac:dyDescent="0.25"/>
  <cols>
    <col min="2" max="2" width="41" bestFit="1" customWidth="1"/>
    <col min="3" max="3" width="17.5703125" bestFit="1" customWidth="1"/>
    <col min="4" max="4" width="7.5703125" customWidth="1"/>
    <col min="5" max="5" width="17.5703125" bestFit="1" customWidth="1"/>
    <col min="6" max="6" width="7.5703125" customWidth="1"/>
    <col min="7" max="7" width="17.5703125" bestFit="1" customWidth="1"/>
    <col min="8" max="8" width="7.5703125" customWidth="1"/>
    <col min="9" max="9" width="17.5703125" bestFit="1" customWidth="1"/>
    <col min="10" max="10" width="7.5703125" customWidth="1"/>
  </cols>
  <sheetData>
    <row r="1" spans="2:10" x14ac:dyDescent="0.25">
      <c r="B1" s="1" t="s">
        <v>0</v>
      </c>
      <c r="C1" s="60">
        <f>SUM(C11+C29+C42)</f>
        <v>0</v>
      </c>
      <c r="D1" s="60"/>
      <c r="E1" s="60">
        <f>SUM(E11+E29+E42)</f>
        <v>0</v>
      </c>
      <c r="F1" s="60"/>
      <c r="G1" s="60">
        <f>SUM(G11+G29+G42)</f>
        <v>0</v>
      </c>
      <c r="H1" s="60"/>
      <c r="I1" s="60">
        <f>SUM(I11+I29+I42)</f>
        <v>0</v>
      </c>
      <c r="J1" s="60"/>
    </row>
    <row r="2" spans="2:10" x14ac:dyDescent="0.25">
      <c r="B2" s="1" t="s">
        <v>1</v>
      </c>
      <c r="C2" s="60">
        <f>C51+C79+C97+C99+C101</f>
        <v>0</v>
      </c>
      <c r="D2" s="60"/>
      <c r="E2" s="60">
        <f>E51+E79+E97+E99+E101</f>
        <v>0</v>
      </c>
      <c r="F2" s="60"/>
      <c r="G2" s="60">
        <f>G51+G79+G97+G99+G101</f>
        <v>0</v>
      </c>
      <c r="H2" s="60"/>
      <c r="I2" s="60">
        <f>I51+I79+I97+I99+I101</f>
        <v>0</v>
      </c>
      <c r="J2" s="60"/>
    </row>
    <row r="3" spans="2:10" x14ac:dyDescent="0.25">
      <c r="B3" s="1" t="s">
        <v>2</v>
      </c>
      <c r="C3" s="60">
        <f>C1-C2</f>
        <v>0</v>
      </c>
      <c r="D3" s="60"/>
      <c r="E3" s="60">
        <f>E1-E2</f>
        <v>0</v>
      </c>
      <c r="F3" s="60"/>
      <c r="G3" s="60">
        <f>G1-G2</f>
        <v>0</v>
      </c>
      <c r="H3" s="60"/>
      <c r="I3" s="60">
        <f>I1-I2</f>
        <v>0</v>
      </c>
      <c r="J3" s="60"/>
    </row>
    <row r="5" spans="2:10" ht="18.75" x14ac:dyDescent="0.3">
      <c r="B5" s="67" t="s">
        <v>3</v>
      </c>
      <c r="C5" s="67"/>
      <c r="D5" s="67"/>
      <c r="E5" s="67"/>
      <c r="F5" s="67"/>
      <c r="G5" s="67"/>
      <c r="H5" s="67"/>
      <c r="I5" s="67"/>
      <c r="J5" s="67"/>
    </row>
    <row r="6" spans="2:10" ht="15.75" thickBot="1" x14ac:dyDescent="0.3"/>
    <row r="7" spans="2:10" ht="21.75" thickBot="1" x14ac:dyDescent="0.4">
      <c r="B7" s="61" t="s">
        <v>4</v>
      </c>
      <c r="C7" s="62"/>
      <c r="D7" s="62"/>
      <c r="E7" s="62"/>
      <c r="F7" s="62"/>
      <c r="G7" s="62"/>
      <c r="H7" s="62"/>
      <c r="I7" s="62"/>
      <c r="J7" s="63"/>
    </row>
    <row r="8" spans="2:10" x14ac:dyDescent="0.25">
      <c r="B8" s="23"/>
      <c r="C8" s="59">
        <v>44896</v>
      </c>
      <c r="D8" s="32"/>
      <c r="E8" s="59">
        <v>45261</v>
      </c>
      <c r="F8" s="32"/>
      <c r="G8" s="59">
        <v>45627</v>
      </c>
      <c r="H8" s="32"/>
      <c r="I8" s="59">
        <v>45992</v>
      </c>
      <c r="J8" s="25"/>
    </row>
    <row r="9" spans="2:10" x14ac:dyDescent="0.25">
      <c r="B9" s="23" t="s">
        <v>5</v>
      </c>
      <c r="C9" s="26" t="s">
        <v>6</v>
      </c>
      <c r="D9" s="26" t="s">
        <v>93</v>
      </c>
      <c r="E9" s="26" t="s">
        <v>6</v>
      </c>
      <c r="F9" s="26" t="s">
        <v>93</v>
      </c>
      <c r="G9" s="26" t="s">
        <v>6</v>
      </c>
      <c r="H9" s="26" t="s">
        <v>93</v>
      </c>
      <c r="I9" s="26" t="s">
        <v>6</v>
      </c>
      <c r="J9" s="27" t="s">
        <v>93</v>
      </c>
    </row>
    <row r="10" spans="2:10" x14ac:dyDescent="0.25">
      <c r="B10" s="2"/>
      <c r="J10" s="3"/>
    </row>
    <row r="11" spans="2:10" x14ac:dyDescent="0.25">
      <c r="B11" s="23" t="s">
        <v>7</v>
      </c>
      <c r="C11" s="24">
        <f>SUM(C12:C27)</f>
        <v>0</v>
      </c>
      <c r="D11" s="6">
        <f t="shared" ref="D11:D27" si="0">IF($C$47="ERRO","ERRO",IF($C$47=0,0,C11/$C$47))</f>
        <v>0</v>
      </c>
      <c r="E11" s="24">
        <f>SUM(E12:E27)</f>
        <v>0</v>
      </c>
      <c r="F11" s="6">
        <f t="shared" ref="F11:F27" si="1">IF($E$47="ERRO","ERRO",IF($E$47=0,0,E11/$E$47))</f>
        <v>0</v>
      </c>
      <c r="G11" s="24">
        <f>SUM(G12:G27)</f>
        <v>0</v>
      </c>
      <c r="H11" s="6">
        <f t="shared" ref="H11:H27" si="2">IF($G$47="ERRO","ERRO",IF($G$47=0,0,G11/$G$47))</f>
        <v>0</v>
      </c>
      <c r="I11" s="24">
        <f>SUM(I12:I27)</f>
        <v>0</v>
      </c>
      <c r="J11" s="7">
        <f t="shared" ref="J11:J27" si="3">IF($I$47="ERRO","ERRO",IF($I$47=0,0,I11/$I$47))</f>
        <v>0</v>
      </c>
    </row>
    <row r="12" spans="2:10" ht="15.75" x14ac:dyDescent="0.25">
      <c r="B12" s="8" t="s">
        <v>8</v>
      </c>
      <c r="C12" s="56"/>
      <c r="D12" s="6">
        <f t="shared" si="0"/>
        <v>0</v>
      </c>
      <c r="E12" s="56"/>
      <c r="F12" s="6">
        <f t="shared" si="1"/>
        <v>0</v>
      </c>
      <c r="G12" s="56"/>
      <c r="H12" s="6">
        <f t="shared" si="2"/>
        <v>0</v>
      </c>
      <c r="I12" s="56"/>
      <c r="J12" s="7">
        <f t="shared" si="3"/>
        <v>0</v>
      </c>
    </row>
    <row r="13" spans="2:10" ht="15.75" x14ac:dyDescent="0.25">
      <c r="B13" s="8" t="s">
        <v>9</v>
      </c>
      <c r="C13" s="56"/>
      <c r="D13" s="6">
        <f t="shared" si="0"/>
        <v>0</v>
      </c>
      <c r="E13" s="56"/>
      <c r="F13" s="6">
        <f t="shared" si="1"/>
        <v>0</v>
      </c>
      <c r="G13" s="56"/>
      <c r="H13" s="6">
        <f t="shared" si="2"/>
        <v>0</v>
      </c>
      <c r="I13" s="56"/>
      <c r="J13" s="7">
        <f t="shared" si="3"/>
        <v>0</v>
      </c>
    </row>
    <row r="14" spans="2:10" ht="15.75" x14ac:dyDescent="0.25">
      <c r="B14" s="8" t="s">
        <v>10</v>
      </c>
      <c r="C14" s="56"/>
      <c r="D14" s="6">
        <f t="shared" si="0"/>
        <v>0</v>
      </c>
      <c r="E14" s="56"/>
      <c r="F14" s="6">
        <f t="shared" si="1"/>
        <v>0</v>
      </c>
      <c r="G14" s="56"/>
      <c r="H14" s="6">
        <f t="shared" si="2"/>
        <v>0</v>
      </c>
      <c r="I14" s="56"/>
      <c r="J14" s="7">
        <f t="shared" si="3"/>
        <v>0</v>
      </c>
    </row>
    <row r="15" spans="2:10" ht="15.75" x14ac:dyDescent="0.25">
      <c r="B15" s="8" t="s">
        <v>11</v>
      </c>
      <c r="C15" s="56"/>
      <c r="D15" s="6">
        <f t="shared" si="0"/>
        <v>0</v>
      </c>
      <c r="E15" s="56"/>
      <c r="F15" s="6">
        <f t="shared" si="1"/>
        <v>0</v>
      </c>
      <c r="G15" s="56"/>
      <c r="H15" s="6">
        <f t="shared" si="2"/>
        <v>0</v>
      </c>
      <c r="I15" s="56"/>
      <c r="J15" s="7">
        <f t="shared" si="3"/>
        <v>0</v>
      </c>
    </row>
    <row r="16" spans="2:10" ht="15.75" x14ac:dyDescent="0.25">
      <c r="B16" s="8" t="s">
        <v>12</v>
      </c>
      <c r="C16" s="56"/>
      <c r="D16" s="6">
        <f t="shared" si="0"/>
        <v>0</v>
      </c>
      <c r="E16" s="56"/>
      <c r="F16" s="6">
        <f t="shared" si="1"/>
        <v>0</v>
      </c>
      <c r="G16" s="56"/>
      <c r="H16" s="6">
        <f t="shared" si="2"/>
        <v>0</v>
      </c>
      <c r="I16" s="56"/>
      <c r="J16" s="7">
        <f t="shared" si="3"/>
        <v>0</v>
      </c>
    </row>
    <row r="17" spans="2:10" ht="15.75" x14ac:dyDescent="0.25">
      <c r="B17" s="8" t="s">
        <v>13</v>
      </c>
      <c r="C17" s="56"/>
      <c r="D17" s="6">
        <f t="shared" si="0"/>
        <v>0</v>
      </c>
      <c r="E17" s="56"/>
      <c r="F17" s="6">
        <f t="shared" si="1"/>
        <v>0</v>
      </c>
      <c r="G17" s="56"/>
      <c r="H17" s="6">
        <f t="shared" si="2"/>
        <v>0</v>
      </c>
      <c r="I17" s="56"/>
      <c r="J17" s="7">
        <f t="shared" si="3"/>
        <v>0</v>
      </c>
    </row>
    <row r="18" spans="2:10" ht="15.75" x14ac:dyDescent="0.25">
      <c r="B18" s="8" t="s">
        <v>14</v>
      </c>
      <c r="C18" s="56"/>
      <c r="D18" s="6">
        <f t="shared" si="0"/>
        <v>0</v>
      </c>
      <c r="E18" s="56"/>
      <c r="F18" s="6">
        <f t="shared" si="1"/>
        <v>0</v>
      </c>
      <c r="G18" s="56"/>
      <c r="H18" s="6">
        <f t="shared" si="2"/>
        <v>0</v>
      </c>
      <c r="I18" s="56"/>
      <c r="J18" s="7">
        <f t="shared" si="3"/>
        <v>0</v>
      </c>
    </row>
    <row r="19" spans="2:10" ht="15.75" x14ac:dyDescent="0.25">
      <c r="B19" s="8" t="s">
        <v>15</v>
      </c>
      <c r="C19" s="56"/>
      <c r="D19" s="6">
        <f t="shared" si="0"/>
        <v>0</v>
      </c>
      <c r="E19" s="56"/>
      <c r="F19" s="6">
        <f t="shared" si="1"/>
        <v>0</v>
      </c>
      <c r="G19" s="56"/>
      <c r="H19" s="6">
        <f t="shared" si="2"/>
        <v>0</v>
      </c>
      <c r="I19" s="56"/>
      <c r="J19" s="7">
        <f t="shared" si="3"/>
        <v>0</v>
      </c>
    </row>
    <row r="20" spans="2:10" ht="15.75" x14ac:dyDescent="0.25">
      <c r="B20" s="8" t="s">
        <v>16</v>
      </c>
      <c r="C20" s="56"/>
      <c r="D20" s="6">
        <f t="shared" si="0"/>
        <v>0</v>
      </c>
      <c r="E20" s="56"/>
      <c r="F20" s="6">
        <f t="shared" si="1"/>
        <v>0</v>
      </c>
      <c r="G20" s="56"/>
      <c r="H20" s="6">
        <f t="shared" si="2"/>
        <v>0</v>
      </c>
      <c r="I20" s="56"/>
      <c r="J20" s="7">
        <f t="shared" si="3"/>
        <v>0</v>
      </c>
    </row>
    <row r="21" spans="2:10" ht="15.75" x14ac:dyDescent="0.25">
      <c r="B21" s="8" t="s">
        <v>17</v>
      </c>
      <c r="C21" s="56"/>
      <c r="D21" s="6">
        <f t="shared" si="0"/>
        <v>0</v>
      </c>
      <c r="E21" s="56"/>
      <c r="F21" s="6">
        <f t="shared" si="1"/>
        <v>0</v>
      </c>
      <c r="G21" s="56"/>
      <c r="H21" s="6">
        <f t="shared" si="2"/>
        <v>0</v>
      </c>
      <c r="I21" s="56"/>
      <c r="J21" s="7">
        <f t="shared" si="3"/>
        <v>0</v>
      </c>
    </row>
    <row r="22" spans="2:10" ht="15.75" x14ac:dyDescent="0.25">
      <c r="B22" s="9" t="s">
        <v>18</v>
      </c>
      <c r="C22" s="56"/>
      <c r="D22" s="6">
        <f t="shared" si="0"/>
        <v>0</v>
      </c>
      <c r="E22" s="56"/>
      <c r="F22" s="6">
        <f t="shared" si="1"/>
        <v>0</v>
      </c>
      <c r="G22" s="56"/>
      <c r="H22" s="6">
        <f t="shared" si="2"/>
        <v>0</v>
      </c>
      <c r="I22" s="56"/>
      <c r="J22" s="7">
        <f t="shared" si="3"/>
        <v>0</v>
      </c>
    </row>
    <row r="23" spans="2:10" ht="15.75" x14ac:dyDescent="0.25">
      <c r="B23" s="9" t="s">
        <v>19</v>
      </c>
      <c r="C23" s="56"/>
      <c r="D23" s="6">
        <f t="shared" si="0"/>
        <v>0</v>
      </c>
      <c r="E23" s="56"/>
      <c r="F23" s="6">
        <f t="shared" si="1"/>
        <v>0</v>
      </c>
      <c r="G23" s="56"/>
      <c r="H23" s="6">
        <f t="shared" si="2"/>
        <v>0</v>
      </c>
      <c r="I23" s="56"/>
      <c r="J23" s="7">
        <f t="shared" si="3"/>
        <v>0</v>
      </c>
    </row>
    <row r="24" spans="2:10" ht="15.75" x14ac:dyDescent="0.25">
      <c r="B24" s="9" t="s">
        <v>20</v>
      </c>
      <c r="C24" s="56"/>
      <c r="D24" s="6">
        <f t="shared" si="0"/>
        <v>0</v>
      </c>
      <c r="E24" s="56"/>
      <c r="F24" s="6">
        <f t="shared" si="1"/>
        <v>0</v>
      </c>
      <c r="G24" s="56"/>
      <c r="H24" s="6">
        <f t="shared" si="2"/>
        <v>0</v>
      </c>
      <c r="I24" s="56"/>
      <c r="J24" s="7">
        <f t="shared" si="3"/>
        <v>0</v>
      </c>
    </row>
    <row r="25" spans="2:10" ht="15.75" x14ac:dyDescent="0.25">
      <c r="B25" s="9" t="s">
        <v>20</v>
      </c>
      <c r="C25" s="56"/>
      <c r="D25" s="6">
        <f t="shared" si="0"/>
        <v>0</v>
      </c>
      <c r="E25" s="56"/>
      <c r="F25" s="6">
        <f t="shared" si="1"/>
        <v>0</v>
      </c>
      <c r="G25" s="56"/>
      <c r="H25" s="6">
        <f t="shared" si="2"/>
        <v>0</v>
      </c>
      <c r="I25" s="56"/>
      <c r="J25" s="7">
        <f t="shared" si="3"/>
        <v>0</v>
      </c>
    </row>
    <row r="26" spans="2:10" ht="15.75" x14ac:dyDescent="0.25">
      <c r="B26" s="9" t="s">
        <v>21</v>
      </c>
      <c r="C26" s="56"/>
      <c r="D26" s="6">
        <f t="shared" si="0"/>
        <v>0</v>
      </c>
      <c r="E26" s="56"/>
      <c r="F26" s="6">
        <f t="shared" si="1"/>
        <v>0</v>
      </c>
      <c r="G26" s="56"/>
      <c r="H26" s="6">
        <f t="shared" si="2"/>
        <v>0</v>
      </c>
      <c r="I26" s="56"/>
      <c r="J26" s="7">
        <f t="shared" si="3"/>
        <v>0</v>
      </c>
    </row>
    <row r="27" spans="2:10" ht="15.75" x14ac:dyDescent="0.25">
      <c r="B27" s="9" t="s">
        <v>21</v>
      </c>
      <c r="C27" s="56"/>
      <c r="D27" s="6">
        <f t="shared" si="0"/>
        <v>0</v>
      </c>
      <c r="E27" s="56"/>
      <c r="F27" s="6">
        <f t="shared" si="1"/>
        <v>0</v>
      </c>
      <c r="G27" s="56"/>
      <c r="H27" s="6">
        <f t="shared" si="2"/>
        <v>0</v>
      </c>
      <c r="I27" s="56"/>
      <c r="J27" s="7">
        <f t="shared" si="3"/>
        <v>0</v>
      </c>
    </row>
    <row r="28" spans="2:10" x14ac:dyDescent="0.25">
      <c r="B28" s="2"/>
      <c r="D28" s="6"/>
      <c r="F28" s="6"/>
      <c r="H28" s="6"/>
      <c r="J28" s="7"/>
    </row>
    <row r="29" spans="2:10" ht="15.75" x14ac:dyDescent="0.25">
      <c r="B29" s="10" t="s">
        <v>22</v>
      </c>
      <c r="C29" s="24">
        <f>SUM(C30:C40)</f>
        <v>0</v>
      </c>
      <c r="D29" s="6">
        <f t="shared" ref="D29:D40" si="4">IF($C$47="ERRO","ERRO",IF($C$47=0,0,C29/$C$47))</f>
        <v>0</v>
      </c>
      <c r="E29" s="24">
        <f>SUM(E30:E40)</f>
        <v>0</v>
      </c>
      <c r="F29" s="6">
        <f t="shared" ref="F29:F40" si="5">IF($E$47="ERRO","ERRO",IF($E$47=0,0,E29/$E$47))</f>
        <v>0</v>
      </c>
      <c r="G29" s="24">
        <f>SUM(G30:G40)</f>
        <v>0</v>
      </c>
      <c r="H29" s="6">
        <f t="shared" ref="H29:H40" si="6">IF($G$47="ERRO","ERRO",IF($G$47=0,0,G29/$G$47))</f>
        <v>0</v>
      </c>
      <c r="I29" s="24">
        <f>SUM(I30:I40)</f>
        <v>0</v>
      </c>
      <c r="J29" s="7">
        <f t="shared" ref="J29:J40" si="7">IF($I$47="ERRO","ERRO",IF($I$47=0,0,I29/$I$47))</f>
        <v>0</v>
      </c>
    </row>
    <row r="30" spans="2:10" ht="15.75" x14ac:dyDescent="0.25">
      <c r="B30" s="8" t="s">
        <v>10</v>
      </c>
      <c r="C30" s="56"/>
      <c r="D30" s="6">
        <f t="shared" si="4"/>
        <v>0</v>
      </c>
      <c r="E30" s="56"/>
      <c r="F30" s="6">
        <f t="shared" si="5"/>
        <v>0</v>
      </c>
      <c r="G30" s="56"/>
      <c r="H30" s="6">
        <f t="shared" si="6"/>
        <v>0</v>
      </c>
      <c r="I30" s="56"/>
      <c r="J30" s="7">
        <f t="shared" si="7"/>
        <v>0</v>
      </c>
    </row>
    <row r="31" spans="2:10" ht="15.75" x14ac:dyDescent="0.25">
      <c r="B31" s="8" t="s">
        <v>11</v>
      </c>
      <c r="C31" s="56"/>
      <c r="D31" s="6">
        <f t="shared" si="4"/>
        <v>0</v>
      </c>
      <c r="E31" s="56"/>
      <c r="F31" s="6">
        <f t="shared" si="5"/>
        <v>0</v>
      </c>
      <c r="G31" s="56"/>
      <c r="H31" s="6">
        <f t="shared" si="6"/>
        <v>0</v>
      </c>
      <c r="I31" s="56"/>
      <c r="J31" s="7">
        <f t="shared" si="7"/>
        <v>0</v>
      </c>
    </row>
    <row r="32" spans="2:10" ht="15.75" x14ac:dyDescent="0.25">
      <c r="B32" s="8" t="s">
        <v>23</v>
      </c>
      <c r="C32" s="56"/>
      <c r="D32" s="6">
        <f t="shared" si="4"/>
        <v>0</v>
      </c>
      <c r="E32" s="56"/>
      <c r="F32" s="6">
        <f t="shared" si="5"/>
        <v>0</v>
      </c>
      <c r="G32" s="56"/>
      <c r="H32" s="6">
        <f t="shared" si="6"/>
        <v>0</v>
      </c>
      <c r="I32" s="56"/>
      <c r="J32" s="7">
        <f t="shared" si="7"/>
        <v>0</v>
      </c>
    </row>
    <row r="33" spans="2:10" ht="15.75" x14ac:dyDescent="0.25">
      <c r="B33" s="9" t="s">
        <v>24</v>
      </c>
      <c r="C33" s="56"/>
      <c r="D33" s="6">
        <f t="shared" si="4"/>
        <v>0</v>
      </c>
      <c r="E33" s="56"/>
      <c r="F33" s="6">
        <f t="shared" si="5"/>
        <v>0</v>
      </c>
      <c r="G33" s="56"/>
      <c r="H33" s="6">
        <f t="shared" si="6"/>
        <v>0</v>
      </c>
      <c r="I33" s="56"/>
      <c r="J33" s="7">
        <f t="shared" si="7"/>
        <v>0</v>
      </c>
    </row>
    <row r="34" spans="2:10" ht="15.75" x14ac:dyDescent="0.25">
      <c r="B34" s="9" t="s">
        <v>19</v>
      </c>
      <c r="C34" s="56"/>
      <c r="D34" s="6">
        <f t="shared" si="4"/>
        <v>0</v>
      </c>
      <c r="E34" s="56"/>
      <c r="F34" s="6">
        <f t="shared" si="5"/>
        <v>0</v>
      </c>
      <c r="G34" s="56"/>
      <c r="H34" s="6">
        <f t="shared" si="6"/>
        <v>0</v>
      </c>
      <c r="I34" s="56"/>
      <c r="J34" s="7">
        <f t="shared" si="7"/>
        <v>0</v>
      </c>
    </row>
    <row r="35" spans="2:10" ht="15.75" x14ac:dyDescent="0.25">
      <c r="B35" s="8" t="s">
        <v>15</v>
      </c>
      <c r="C35" s="56"/>
      <c r="D35" s="6">
        <f t="shared" si="4"/>
        <v>0</v>
      </c>
      <c r="E35" s="56"/>
      <c r="F35" s="6">
        <f t="shared" si="5"/>
        <v>0</v>
      </c>
      <c r="G35" s="56"/>
      <c r="H35" s="6">
        <f t="shared" si="6"/>
        <v>0</v>
      </c>
      <c r="I35" s="56"/>
      <c r="J35" s="7">
        <f t="shared" si="7"/>
        <v>0</v>
      </c>
    </row>
    <row r="36" spans="2:10" ht="15.75" x14ac:dyDescent="0.25">
      <c r="B36" s="9" t="s">
        <v>25</v>
      </c>
      <c r="C36" s="56"/>
      <c r="D36" s="6">
        <f t="shared" si="4"/>
        <v>0</v>
      </c>
      <c r="E36" s="56"/>
      <c r="F36" s="6">
        <f t="shared" si="5"/>
        <v>0</v>
      </c>
      <c r="G36" s="56"/>
      <c r="H36" s="6">
        <f t="shared" si="6"/>
        <v>0</v>
      </c>
      <c r="I36" s="56"/>
      <c r="J36" s="7">
        <f t="shared" si="7"/>
        <v>0</v>
      </c>
    </row>
    <row r="37" spans="2:10" ht="15.75" x14ac:dyDescent="0.25">
      <c r="B37" s="9" t="s">
        <v>20</v>
      </c>
      <c r="C37" s="56"/>
      <c r="D37" s="6">
        <f t="shared" si="4"/>
        <v>0</v>
      </c>
      <c r="E37" s="56"/>
      <c r="F37" s="6">
        <f t="shared" si="5"/>
        <v>0</v>
      </c>
      <c r="G37" s="56"/>
      <c r="H37" s="6">
        <f t="shared" si="6"/>
        <v>0</v>
      </c>
      <c r="I37" s="56"/>
      <c r="J37" s="7">
        <f t="shared" si="7"/>
        <v>0</v>
      </c>
    </row>
    <row r="38" spans="2:10" ht="15.75" x14ac:dyDescent="0.25">
      <c r="B38" s="9" t="s">
        <v>20</v>
      </c>
      <c r="C38" s="56"/>
      <c r="D38" s="6">
        <f t="shared" si="4"/>
        <v>0</v>
      </c>
      <c r="E38" s="56"/>
      <c r="F38" s="6">
        <f t="shared" si="5"/>
        <v>0</v>
      </c>
      <c r="G38" s="56"/>
      <c r="H38" s="6">
        <f t="shared" si="6"/>
        <v>0</v>
      </c>
      <c r="I38" s="56"/>
      <c r="J38" s="7">
        <f t="shared" si="7"/>
        <v>0</v>
      </c>
    </row>
    <row r="39" spans="2:10" ht="15.75" x14ac:dyDescent="0.25">
      <c r="B39" s="9" t="s">
        <v>21</v>
      </c>
      <c r="C39" s="56"/>
      <c r="D39" s="6">
        <f t="shared" si="4"/>
        <v>0</v>
      </c>
      <c r="E39" s="56"/>
      <c r="F39" s="6">
        <f t="shared" si="5"/>
        <v>0</v>
      </c>
      <c r="G39" s="56"/>
      <c r="H39" s="6">
        <f t="shared" si="6"/>
        <v>0</v>
      </c>
      <c r="I39" s="56"/>
      <c r="J39" s="7">
        <f t="shared" si="7"/>
        <v>0</v>
      </c>
    </row>
    <row r="40" spans="2:10" ht="15.75" x14ac:dyDescent="0.25">
      <c r="B40" s="9" t="s">
        <v>21</v>
      </c>
      <c r="C40" s="56"/>
      <c r="D40" s="6">
        <f t="shared" si="4"/>
        <v>0</v>
      </c>
      <c r="E40" s="56"/>
      <c r="F40" s="6">
        <f t="shared" si="5"/>
        <v>0</v>
      </c>
      <c r="G40" s="56"/>
      <c r="H40" s="6">
        <f t="shared" si="6"/>
        <v>0</v>
      </c>
      <c r="I40" s="56"/>
      <c r="J40" s="7">
        <f t="shared" si="7"/>
        <v>0</v>
      </c>
    </row>
    <row r="41" spans="2:10" ht="15.75" x14ac:dyDescent="0.25">
      <c r="B41" s="8"/>
      <c r="D41" s="6"/>
      <c r="F41" s="6"/>
      <c r="H41" s="6"/>
      <c r="J41" s="7"/>
    </row>
    <row r="42" spans="2:10" ht="15.75" x14ac:dyDescent="0.25">
      <c r="B42" s="11" t="s">
        <v>26</v>
      </c>
      <c r="C42" s="24">
        <f>SUM(C43:C45)</f>
        <v>0</v>
      </c>
      <c r="D42" s="6">
        <f>IF($C$47="ERRO","ERRO",IF($C$47=0,0,C42/$C$47))</f>
        <v>0</v>
      </c>
      <c r="E42" s="24">
        <f>SUM(E43:E45)</f>
        <v>0</v>
      </c>
      <c r="F42" s="6">
        <f>IF($E$47="ERRO","ERRO",IF($E$47=0,0,E42/$E$47))</f>
        <v>0</v>
      </c>
      <c r="G42" s="24">
        <f>SUM(G43:G45)</f>
        <v>0</v>
      </c>
      <c r="H42" s="6">
        <f>IF($G$47="ERRO","ERRO",IF($G$47=0,0,G42/$G$47))</f>
        <v>0</v>
      </c>
      <c r="I42" s="24">
        <f>SUM(I43:I45)</f>
        <v>0</v>
      </c>
      <c r="J42" s="7">
        <f>IF($I$47="ERRO","ERRO",IF($I$47=0,0,I42/$I$47))</f>
        <v>0</v>
      </c>
    </row>
    <row r="43" spans="2:10" ht="15.75" x14ac:dyDescent="0.25">
      <c r="B43" s="8" t="s">
        <v>27</v>
      </c>
      <c r="C43" s="56"/>
      <c r="D43" s="6">
        <f>IF($C$47="ERRO","ERRO",IF($C$47=0,0,C43/$C$47))</f>
        <v>0</v>
      </c>
      <c r="E43" s="56"/>
      <c r="F43" s="6">
        <f>IF($E$47="ERRO","ERRO",IF($E$47=0,0,E43/$E$47))</f>
        <v>0</v>
      </c>
      <c r="G43" s="56"/>
      <c r="H43" s="6">
        <f>IF($G$47="ERRO","ERRO",IF($G$47=0,0,G43/$G$47))</f>
        <v>0</v>
      </c>
      <c r="I43" s="56"/>
      <c r="J43" s="7">
        <f>IF($I$47="ERRO","ERRO",IF($I$47=0,0,I43/$I$47))</f>
        <v>0</v>
      </c>
    </row>
    <row r="44" spans="2:10" ht="15.75" x14ac:dyDescent="0.25">
      <c r="B44" s="8" t="s">
        <v>28</v>
      </c>
      <c r="C44" s="56"/>
      <c r="D44" s="6">
        <f>IF($C$47="ERRO","ERRO",IF($C$47=0,0,C44/$C$47))</f>
        <v>0</v>
      </c>
      <c r="E44" s="56"/>
      <c r="F44" s="6">
        <f>IF($E$47="ERRO","ERRO",IF($E$47=0,0,E44/$E$47))</f>
        <v>0</v>
      </c>
      <c r="G44" s="56"/>
      <c r="H44" s="6">
        <f>IF($G$47="ERRO","ERRO",IF($G$47=0,0,G44/$G$47))</f>
        <v>0</v>
      </c>
      <c r="I44" s="56"/>
      <c r="J44" s="7">
        <f>IF($I$47="ERRO","ERRO",IF($I$47=0,0,I44/$I$47))</f>
        <v>0</v>
      </c>
    </row>
    <row r="45" spans="2:10" ht="15.75" x14ac:dyDescent="0.25">
      <c r="B45" s="12" t="s">
        <v>29</v>
      </c>
      <c r="C45" s="56"/>
      <c r="D45" s="6">
        <f>IF($C$47="ERRO","ERRO",IF($C$47=0,0,C45/$C$47))</f>
        <v>0</v>
      </c>
      <c r="E45" s="56"/>
      <c r="F45" s="6">
        <f>IF($E$47="ERRO","ERRO",IF($E$47=0,0,E45/$E$47))</f>
        <v>0</v>
      </c>
      <c r="G45" s="56"/>
      <c r="H45" s="6">
        <f>IF($G$47="ERRO","ERRO",IF($G$47=0,0,G45/$G$47))</f>
        <v>0</v>
      </c>
      <c r="I45" s="56"/>
      <c r="J45" s="7">
        <f>IF($I$47="ERRO","ERRO",IF($I$47=0,0,I45/$I$47))</f>
        <v>0</v>
      </c>
    </row>
    <row r="46" spans="2:10" ht="15.75" thickBot="1" x14ac:dyDescent="0.3">
      <c r="B46" s="2"/>
      <c r="D46" s="6"/>
      <c r="F46" s="6"/>
      <c r="H46" s="6"/>
      <c r="J46" s="7"/>
    </row>
    <row r="47" spans="2:10" ht="16.5" thickBot="1" x14ac:dyDescent="0.3">
      <c r="B47" s="28" t="s">
        <v>30</v>
      </c>
      <c r="C47" s="29">
        <f>IF(OR(C11+C29+C42-C51-C79-C97-C99-C101&gt;1,C11+C29+C42-C51-C79-C97-C99-C101&lt;-1),"ERRO",C11+C29+C42)</f>
        <v>0</v>
      </c>
      <c r="D47" s="30">
        <f>IF($C$47="ERRO","ERRO",IF($C$47=0,0,C47/$C$47))</f>
        <v>0</v>
      </c>
      <c r="E47" s="29">
        <f>IF(OR(E11+E29+E42-E51-E79-E97-E99-E101&gt;1,E11+E29+E42-E51-E79-E97-E99-E101&lt;-1),"ERRO",E11+E29+E42)</f>
        <v>0</v>
      </c>
      <c r="F47" s="30">
        <f>IF($E$47="ERRO","ERRO",IF($E$47=0,0,E47/$E$47))</f>
        <v>0</v>
      </c>
      <c r="G47" s="29">
        <f>IF(OR(G11+G29+G42-G51-G79-G97-G99-G101&gt;1,G11+G29+G42-G51-G79-G97-G99-G101&lt;-1),"ERRO",G11+G29+G42)</f>
        <v>0</v>
      </c>
      <c r="H47" s="30">
        <f>IF($G$47="ERRO","ERRO",IF($G$47=0,0,G47/$G$47))</f>
        <v>0</v>
      </c>
      <c r="I47" s="29">
        <f>IF(OR(I11+I29+I42-I51-I79-I97-I99-I101&gt;1,I11+I29+I42-I51-I79-I97-I99-I101&lt;-1),"ERRO",I11+I29+I42)</f>
        <v>0</v>
      </c>
      <c r="J47" s="31">
        <f>IF($I$47="ERRO","ERRO",IF($I$47=0,0,I47/$I$47))</f>
        <v>0</v>
      </c>
    </row>
    <row r="48" spans="2:10" x14ac:dyDescent="0.25">
      <c r="B48" s="23"/>
      <c r="C48" s="24"/>
      <c r="D48" s="24"/>
      <c r="E48" s="24"/>
      <c r="F48" s="24"/>
      <c r="G48" s="24"/>
      <c r="H48" s="24"/>
      <c r="I48" s="24"/>
      <c r="J48" s="25"/>
    </row>
    <row r="49" spans="2:10" ht="15.75" x14ac:dyDescent="0.25">
      <c r="B49" s="11" t="s">
        <v>31</v>
      </c>
      <c r="C49" s="26" t="s">
        <v>6</v>
      </c>
      <c r="D49" s="26" t="s">
        <v>93</v>
      </c>
      <c r="E49" s="26" t="s">
        <v>6</v>
      </c>
      <c r="F49" s="26" t="s">
        <v>93</v>
      </c>
      <c r="G49" s="26" t="s">
        <v>6</v>
      </c>
      <c r="H49" s="26" t="s">
        <v>93</v>
      </c>
      <c r="I49" s="26" t="s">
        <v>6</v>
      </c>
      <c r="J49" s="27" t="s">
        <v>93</v>
      </c>
    </row>
    <row r="50" spans="2:10" x14ac:dyDescent="0.25">
      <c r="B50" s="2"/>
      <c r="J50" s="3"/>
    </row>
    <row r="51" spans="2:10" ht="15.75" x14ac:dyDescent="0.25">
      <c r="B51" s="10" t="s">
        <v>7</v>
      </c>
      <c r="C51" s="24">
        <f>SUM(C52:C77)</f>
        <v>0</v>
      </c>
      <c r="D51" s="6">
        <f>IF($C$47="ERRO","ERRO",IF($C$47=0,0,C51/$C$47))</f>
        <v>0</v>
      </c>
      <c r="E51" s="24">
        <f>SUM(E52:E77)</f>
        <v>0</v>
      </c>
      <c r="F51" s="6">
        <f t="shared" ref="F51:F77" si="8">IF($E$47="ERRO","ERRO",IF($E$47=0,0,E51/$E$47))</f>
        <v>0</v>
      </c>
      <c r="G51" s="24">
        <f>SUM(G52:G77)</f>
        <v>0</v>
      </c>
      <c r="H51" s="6">
        <f t="shared" ref="H51:H77" si="9">IF($G$47="ERRO","ERRO",IF($G$47=0,0,G51/$G$47))</f>
        <v>0</v>
      </c>
      <c r="I51" s="24">
        <f>SUM(I52:I77)</f>
        <v>0</v>
      </c>
      <c r="J51" s="7">
        <f t="shared" ref="J51:J104" si="10">IF($I$47="ERRO","ERRO",IF($I$47=0,0,I51/$I$47))</f>
        <v>0</v>
      </c>
    </row>
    <row r="52" spans="2:10" ht="15.75" x14ac:dyDescent="0.25">
      <c r="B52" s="9" t="s">
        <v>32</v>
      </c>
      <c r="C52" s="56"/>
      <c r="D52" s="6">
        <f t="shared" ref="D52:D104" si="11">IF($C$47="ERRO","ERRO",IF($C$47=0,0,C52/$C$47))</f>
        <v>0</v>
      </c>
      <c r="E52" s="56"/>
      <c r="F52" s="6">
        <f t="shared" si="8"/>
        <v>0</v>
      </c>
      <c r="G52" s="56"/>
      <c r="H52" s="6">
        <f t="shared" si="9"/>
        <v>0</v>
      </c>
      <c r="I52" s="56"/>
      <c r="J52" s="7">
        <f t="shared" si="10"/>
        <v>0</v>
      </c>
    </row>
    <row r="53" spans="2:10" ht="15.75" x14ac:dyDescent="0.25">
      <c r="B53" s="9" t="s">
        <v>33</v>
      </c>
      <c r="C53" s="56"/>
      <c r="D53" s="6">
        <f t="shared" si="11"/>
        <v>0</v>
      </c>
      <c r="E53" s="56"/>
      <c r="F53" s="6">
        <f t="shared" si="8"/>
        <v>0</v>
      </c>
      <c r="G53" s="56"/>
      <c r="H53" s="6">
        <f t="shared" si="9"/>
        <v>0</v>
      </c>
      <c r="I53" s="56"/>
      <c r="J53" s="7">
        <f t="shared" si="10"/>
        <v>0</v>
      </c>
    </row>
    <row r="54" spans="2:10" ht="15.75" x14ac:dyDescent="0.25">
      <c r="B54" s="9" t="s">
        <v>34</v>
      </c>
      <c r="C54" s="56"/>
      <c r="D54" s="6">
        <f t="shared" si="11"/>
        <v>0</v>
      </c>
      <c r="E54" s="56"/>
      <c r="F54" s="6">
        <f t="shared" si="8"/>
        <v>0</v>
      </c>
      <c r="G54" s="56"/>
      <c r="H54" s="6">
        <f t="shared" si="9"/>
        <v>0</v>
      </c>
      <c r="I54" s="56"/>
      <c r="J54" s="7">
        <f t="shared" si="10"/>
        <v>0</v>
      </c>
    </row>
    <row r="55" spans="2:10" ht="15.75" x14ac:dyDescent="0.25">
      <c r="B55" s="8" t="s">
        <v>35</v>
      </c>
      <c r="C55" s="56"/>
      <c r="D55" s="6">
        <f t="shared" si="11"/>
        <v>0</v>
      </c>
      <c r="E55" s="56"/>
      <c r="F55" s="6">
        <f t="shared" si="8"/>
        <v>0</v>
      </c>
      <c r="G55" s="56"/>
      <c r="H55" s="6">
        <f t="shared" si="9"/>
        <v>0</v>
      </c>
      <c r="I55" s="56"/>
      <c r="J55" s="7">
        <f t="shared" si="10"/>
        <v>0</v>
      </c>
    </row>
    <row r="56" spans="2:10" ht="15.75" x14ac:dyDescent="0.25">
      <c r="B56" s="8" t="s">
        <v>36</v>
      </c>
      <c r="C56" s="56"/>
      <c r="D56" s="6">
        <f t="shared" si="11"/>
        <v>0</v>
      </c>
      <c r="E56" s="56"/>
      <c r="F56" s="6">
        <f t="shared" si="8"/>
        <v>0</v>
      </c>
      <c r="G56" s="56"/>
      <c r="H56" s="6">
        <f t="shared" si="9"/>
        <v>0</v>
      </c>
      <c r="I56" s="56"/>
      <c r="J56" s="7">
        <f t="shared" si="10"/>
        <v>0</v>
      </c>
    </row>
    <row r="57" spans="2:10" ht="15.75" x14ac:dyDescent="0.25">
      <c r="B57" s="8" t="s">
        <v>37</v>
      </c>
      <c r="C57" s="56"/>
      <c r="D57" s="6">
        <f t="shared" si="11"/>
        <v>0</v>
      </c>
      <c r="E57" s="56"/>
      <c r="F57" s="6">
        <f t="shared" si="8"/>
        <v>0</v>
      </c>
      <c r="G57" s="56"/>
      <c r="H57" s="6">
        <f t="shared" si="9"/>
        <v>0</v>
      </c>
      <c r="I57" s="56"/>
      <c r="J57" s="7">
        <f t="shared" si="10"/>
        <v>0</v>
      </c>
    </row>
    <row r="58" spans="2:10" ht="15.75" x14ac:dyDescent="0.25">
      <c r="B58" s="8" t="s">
        <v>38</v>
      </c>
      <c r="C58" s="56"/>
      <c r="D58" s="6">
        <f t="shared" si="11"/>
        <v>0</v>
      </c>
      <c r="E58" s="56"/>
      <c r="F58" s="6">
        <f t="shared" si="8"/>
        <v>0</v>
      </c>
      <c r="G58" s="56"/>
      <c r="H58" s="6">
        <f t="shared" si="9"/>
        <v>0</v>
      </c>
      <c r="I58" s="56"/>
      <c r="J58" s="7">
        <f t="shared" si="10"/>
        <v>0</v>
      </c>
    </row>
    <row r="59" spans="2:10" ht="15.75" x14ac:dyDescent="0.25">
      <c r="B59" s="8" t="s">
        <v>39</v>
      </c>
      <c r="C59" s="56"/>
      <c r="D59" s="6">
        <f t="shared" si="11"/>
        <v>0</v>
      </c>
      <c r="E59" s="56"/>
      <c r="F59" s="6">
        <f t="shared" si="8"/>
        <v>0</v>
      </c>
      <c r="G59" s="56"/>
      <c r="H59" s="6">
        <f t="shared" si="9"/>
        <v>0</v>
      </c>
      <c r="I59" s="56"/>
      <c r="J59" s="7">
        <f t="shared" si="10"/>
        <v>0</v>
      </c>
    </row>
    <row r="60" spans="2:10" ht="15.75" x14ac:dyDescent="0.25">
      <c r="B60" s="8" t="s">
        <v>40</v>
      </c>
      <c r="C60" s="56"/>
      <c r="D60" s="6">
        <f t="shared" si="11"/>
        <v>0</v>
      </c>
      <c r="E60" s="56"/>
      <c r="F60" s="6">
        <f t="shared" si="8"/>
        <v>0</v>
      </c>
      <c r="G60" s="56"/>
      <c r="H60" s="6">
        <f t="shared" si="9"/>
        <v>0</v>
      </c>
      <c r="I60" s="56"/>
      <c r="J60" s="7">
        <f t="shared" si="10"/>
        <v>0</v>
      </c>
    </row>
    <row r="61" spans="2:10" ht="15.75" x14ac:dyDescent="0.25">
      <c r="B61" s="8" t="s">
        <v>41</v>
      </c>
      <c r="C61" s="56"/>
      <c r="D61" s="6">
        <f t="shared" si="11"/>
        <v>0</v>
      </c>
      <c r="E61" s="56"/>
      <c r="F61" s="6">
        <f t="shared" si="8"/>
        <v>0</v>
      </c>
      <c r="G61" s="56"/>
      <c r="H61" s="6">
        <f t="shared" si="9"/>
        <v>0</v>
      </c>
      <c r="I61" s="56"/>
      <c r="J61" s="7">
        <f t="shared" si="10"/>
        <v>0</v>
      </c>
    </row>
    <row r="62" spans="2:10" ht="15.75" x14ac:dyDescent="0.25">
      <c r="B62" s="8" t="s">
        <v>42</v>
      </c>
      <c r="C62" s="56"/>
      <c r="D62" s="6">
        <f t="shared" si="11"/>
        <v>0</v>
      </c>
      <c r="E62" s="56"/>
      <c r="F62" s="6">
        <f t="shared" si="8"/>
        <v>0</v>
      </c>
      <c r="G62" s="56"/>
      <c r="H62" s="6">
        <f t="shared" si="9"/>
        <v>0</v>
      </c>
      <c r="I62" s="56"/>
      <c r="J62" s="7">
        <f t="shared" si="10"/>
        <v>0</v>
      </c>
    </row>
    <row r="63" spans="2:10" ht="15.75" x14ac:dyDescent="0.25">
      <c r="B63" s="8" t="s">
        <v>43</v>
      </c>
      <c r="C63" s="56"/>
      <c r="D63" s="6">
        <f t="shared" si="11"/>
        <v>0</v>
      </c>
      <c r="E63" s="56"/>
      <c r="F63" s="6">
        <f t="shared" si="8"/>
        <v>0</v>
      </c>
      <c r="G63" s="56"/>
      <c r="H63" s="6">
        <f t="shared" si="9"/>
        <v>0</v>
      </c>
      <c r="I63" s="56"/>
      <c r="J63" s="7">
        <f t="shared" si="10"/>
        <v>0</v>
      </c>
    </row>
    <row r="64" spans="2:10" ht="15.75" x14ac:dyDescent="0.25">
      <c r="B64" s="8" t="s">
        <v>44</v>
      </c>
      <c r="C64" s="56"/>
      <c r="D64" s="6">
        <f t="shared" si="11"/>
        <v>0</v>
      </c>
      <c r="E64" s="56"/>
      <c r="F64" s="6">
        <f t="shared" si="8"/>
        <v>0</v>
      </c>
      <c r="G64" s="56"/>
      <c r="H64" s="6">
        <f t="shared" si="9"/>
        <v>0</v>
      </c>
      <c r="I64" s="56"/>
      <c r="J64" s="7">
        <f t="shared" si="10"/>
        <v>0</v>
      </c>
    </row>
    <row r="65" spans="2:10" ht="15.75" x14ac:dyDescent="0.25">
      <c r="B65" s="8" t="s">
        <v>45</v>
      </c>
      <c r="C65" s="56"/>
      <c r="D65" s="6">
        <f t="shared" si="11"/>
        <v>0</v>
      </c>
      <c r="E65" s="56"/>
      <c r="F65" s="6">
        <f t="shared" si="8"/>
        <v>0</v>
      </c>
      <c r="G65" s="56"/>
      <c r="H65" s="6">
        <f t="shared" si="9"/>
        <v>0</v>
      </c>
      <c r="I65" s="56"/>
      <c r="J65" s="7">
        <f t="shared" si="10"/>
        <v>0</v>
      </c>
    </row>
    <row r="66" spans="2:10" ht="15.75" x14ac:dyDescent="0.25">
      <c r="B66" s="8" t="s">
        <v>46</v>
      </c>
      <c r="C66" s="56"/>
      <c r="D66" s="6">
        <f t="shared" si="11"/>
        <v>0</v>
      </c>
      <c r="E66" s="56"/>
      <c r="F66" s="6">
        <f t="shared" si="8"/>
        <v>0</v>
      </c>
      <c r="G66" s="56"/>
      <c r="H66" s="6">
        <f t="shared" si="9"/>
        <v>0</v>
      </c>
      <c r="I66" s="56"/>
      <c r="J66" s="7">
        <f t="shared" si="10"/>
        <v>0</v>
      </c>
    </row>
    <row r="67" spans="2:10" ht="15.75" x14ac:dyDescent="0.25">
      <c r="B67" s="8" t="s">
        <v>47</v>
      </c>
      <c r="C67" s="56"/>
      <c r="D67" s="6">
        <f t="shared" si="11"/>
        <v>0</v>
      </c>
      <c r="E67" s="56"/>
      <c r="F67" s="6">
        <f t="shared" si="8"/>
        <v>0</v>
      </c>
      <c r="G67" s="56"/>
      <c r="H67" s="6">
        <f t="shared" si="9"/>
        <v>0</v>
      </c>
      <c r="I67" s="56"/>
      <c r="J67" s="7">
        <f t="shared" si="10"/>
        <v>0</v>
      </c>
    </row>
    <row r="68" spans="2:10" ht="15.75" x14ac:dyDescent="0.25">
      <c r="B68" s="8" t="s">
        <v>48</v>
      </c>
      <c r="C68" s="56"/>
      <c r="D68" s="6">
        <f t="shared" si="11"/>
        <v>0</v>
      </c>
      <c r="E68" s="56"/>
      <c r="F68" s="6">
        <f t="shared" si="8"/>
        <v>0</v>
      </c>
      <c r="G68" s="56"/>
      <c r="H68" s="6">
        <f t="shared" si="9"/>
        <v>0</v>
      </c>
      <c r="I68" s="56"/>
      <c r="J68" s="7">
        <f t="shared" si="10"/>
        <v>0</v>
      </c>
    </row>
    <row r="69" spans="2:10" ht="15.75" x14ac:dyDescent="0.25">
      <c r="B69" s="8" t="s">
        <v>49</v>
      </c>
      <c r="C69" s="56"/>
      <c r="D69" s="6">
        <f t="shared" si="11"/>
        <v>0</v>
      </c>
      <c r="E69" s="56"/>
      <c r="F69" s="6">
        <f t="shared" si="8"/>
        <v>0</v>
      </c>
      <c r="G69" s="56"/>
      <c r="H69" s="6">
        <f t="shared" si="9"/>
        <v>0</v>
      </c>
      <c r="I69" s="56"/>
      <c r="J69" s="7">
        <f t="shared" si="10"/>
        <v>0</v>
      </c>
    </row>
    <row r="70" spans="2:10" ht="15.75" x14ac:dyDescent="0.25">
      <c r="B70" s="9" t="s">
        <v>50</v>
      </c>
      <c r="C70" s="56"/>
      <c r="D70" s="6">
        <f t="shared" si="11"/>
        <v>0</v>
      </c>
      <c r="E70" s="56"/>
      <c r="F70" s="6">
        <f t="shared" si="8"/>
        <v>0</v>
      </c>
      <c r="G70" s="56"/>
      <c r="H70" s="6">
        <f t="shared" si="9"/>
        <v>0</v>
      </c>
      <c r="I70" s="56"/>
      <c r="J70" s="7">
        <f t="shared" si="10"/>
        <v>0</v>
      </c>
    </row>
    <row r="71" spans="2:10" ht="15.75" x14ac:dyDescent="0.25">
      <c r="B71" s="9" t="s">
        <v>51</v>
      </c>
      <c r="C71" s="56"/>
      <c r="D71" s="6">
        <f t="shared" si="11"/>
        <v>0</v>
      </c>
      <c r="E71" s="56"/>
      <c r="F71" s="6">
        <f t="shared" si="8"/>
        <v>0</v>
      </c>
      <c r="G71" s="56"/>
      <c r="H71" s="6">
        <f t="shared" si="9"/>
        <v>0</v>
      </c>
      <c r="I71" s="56"/>
      <c r="J71" s="7">
        <f t="shared" si="10"/>
        <v>0</v>
      </c>
    </row>
    <row r="72" spans="2:10" ht="15.75" x14ac:dyDescent="0.25">
      <c r="B72" s="9" t="s">
        <v>52</v>
      </c>
      <c r="C72" s="56"/>
      <c r="D72" s="6">
        <f t="shared" si="11"/>
        <v>0</v>
      </c>
      <c r="E72" s="56"/>
      <c r="F72" s="6">
        <f t="shared" si="8"/>
        <v>0</v>
      </c>
      <c r="G72" s="56"/>
      <c r="H72" s="6">
        <f t="shared" si="9"/>
        <v>0</v>
      </c>
      <c r="I72" s="56"/>
      <c r="J72" s="7">
        <f t="shared" si="10"/>
        <v>0</v>
      </c>
    </row>
    <row r="73" spans="2:10" ht="15.75" x14ac:dyDescent="0.25">
      <c r="B73" s="9" t="s">
        <v>23</v>
      </c>
      <c r="C73" s="56"/>
      <c r="D73" s="6">
        <f t="shared" si="11"/>
        <v>0</v>
      </c>
      <c r="E73" s="56"/>
      <c r="F73" s="6">
        <f t="shared" si="8"/>
        <v>0</v>
      </c>
      <c r="G73" s="56"/>
      <c r="H73" s="6">
        <f t="shared" si="9"/>
        <v>0</v>
      </c>
      <c r="I73" s="56"/>
      <c r="J73" s="7">
        <f t="shared" si="10"/>
        <v>0</v>
      </c>
    </row>
    <row r="74" spans="2:10" ht="15.75" x14ac:dyDescent="0.25">
      <c r="B74" s="9" t="s">
        <v>20</v>
      </c>
      <c r="C74" s="56"/>
      <c r="D74" s="6">
        <f t="shared" si="11"/>
        <v>0</v>
      </c>
      <c r="E74" s="56"/>
      <c r="F74" s="6">
        <f t="shared" si="8"/>
        <v>0</v>
      </c>
      <c r="G74" s="56"/>
      <c r="H74" s="6">
        <f t="shared" si="9"/>
        <v>0</v>
      </c>
      <c r="I74" s="56"/>
      <c r="J74" s="7">
        <f t="shared" si="10"/>
        <v>0</v>
      </c>
    </row>
    <row r="75" spans="2:10" ht="15.75" x14ac:dyDescent="0.25">
      <c r="B75" s="9" t="s">
        <v>20</v>
      </c>
      <c r="C75" s="56"/>
      <c r="D75" s="6">
        <f t="shared" si="11"/>
        <v>0</v>
      </c>
      <c r="E75" s="56"/>
      <c r="F75" s="6">
        <f t="shared" si="8"/>
        <v>0</v>
      </c>
      <c r="G75" s="56"/>
      <c r="H75" s="6">
        <f t="shared" si="9"/>
        <v>0</v>
      </c>
      <c r="I75" s="56"/>
      <c r="J75" s="7">
        <f t="shared" si="10"/>
        <v>0</v>
      </c>
    </row>
    <row r="76" spans="2:10" ht="15.75" x14ac:dyDescent="0.25">
      <c r="B76" s="9" t="s">
        <v>21</v>
      </c>
      <c r="C76" s="56"/>
      <c r="D76" s="6">
        <f t="shared" si="11"/>
        <v>0</v>
      </c>
      <c r="E76" s="56"/>
      <c r="F76" s="6">
        <f t="shared" si="8"/>
        <v>0</v>
      </c>
      <c r="G76" s="56"/>
      <c r="H76" s="6">
        <f t="shared" si="9"/>
        <v>0</v>
      </c>
      <c r="I76" s="56"/>
      <c r="J76" s="7">
        <f t="shared" si="10"/>
        <v>0</v>
      </c>
    </row>
    <row r="77" spans="2:10" ht="15.75" x14ac:dyDescent="0.25">
      <c r="B77" s="9" t="s">
        <v>21</v>
      </c>
      <c r="C77" s="56"/>
      <c r="D77" s="6">
        <f t="shared" si="11"/>
        <v>0</v>
      </c>
      <c r="E77" s="56"/>
      <c r="F77" s="6">
        <f t="shared" si="8"/>
        <v>0</v>
      </c>
      <c r="G77" s="56"/>
      <c r="H77" s="6">
        <f t="shared" si="9"/>
        <v>0</v>
      </c>
      <c r="I77" s="56"/>
      <c r="J77" s="7">
        <f t="shared" si="10"/>
        <v>0</v>
      </c>
    </row>
    <row r="78" spans="2:10" ht="15.75" x14ac:dyDescent="0.25">
      <c r="B78" s="8"/>
      <c r="J78" s="3"/>
    </row>
    <row r="79" spans="2:10" ht="15.75" x14ac:dyDescent="0.25">
      <c r="B79" s="10" t="s">
        <v>53</v>
      </c>
      <c r="C79" s="24">
        <f>SUM(C80:C95)</f>
        <v>0</v>
      </c>
      <c r="D79" s="6">
        <f t="shared" si="11"/>
        <v>0</v>
      </c>
      <c r="E79" s="24">
        <f>SUM(E80:E95)</f>
        <v>0</v>
      </c>
      <c r="F79" s="6">
        <f t="shared" ref="F79:F95" si="12">IF($E$47="ERRO","ERRO",IF($E$47=0,0,E79/$E$47))</f>
        <v>0</v>
      </c>
      <c r="G79" s="24">
        <f>SUM(G80:G95)</f>
        <v>0</v>
      </c>
      <c r="H79" s="6">
        <f t="shared" ref="H79:H95" si="13">IF($G$47="ERRO","ERRO",IF($G$47=0,0,G79/$G$47))</f>
        <v>0</v>
      </c>
      <c r="I79" s="24">
        <f>SUM(I80:I95)</f>
        <v>0</v>
      </c>
      <c r="J79" s="7">
        <f t="shared" si="10"/>
        <v>0</v>
      </c>
    </row>
    <row r="80" spans="2:10" ht="15.75" x14ac:dyDescent="0.25">
      <c r="B80" s="9" t="s">
        <v>54</v>
      </c>
      <c r="C80" s="56"/>
      <c r="D80" s="6">
        <f t="shared" si="11"/>
        <v>0</v>
      </c>
      <c r="E80" s="56"/>
      <c r="F80" s="6">
        <f t="shared" si="12"/>
        <v>0</v>
      </c>
      <c r="G80" s="56"/>
      <c r="H80" s="6">
        <f t="shared" si="13"/>
        <v>0</v>
      </c>
      <c r="I80" s="56"/>
      <c r="J80" s="7">
        <f t="shared" si="10"/>
        <v>0</v>
      </c>
    </row>
    <row r="81" spans="2:10" ht="15.75" x14ac:dyDescent="0.25">
      <c r="B81" s="9" t="s">
        <v>38</v>
      </c>
      <c r="C81" s="56"/>
      <c r="D81" s="6">
        <f t="shared" si="11"/>
        <v>0</v>
      </c>
      <c r="E81" s="56"/>
      <c r="F81" s="6">
        <f t="shared" si="12"/>
        <v>0</v>
      </c>
      <c r="G81" s="56"/>
      <c r="H81" s="6">
        <f t="shared" si="13"/>
        <v>0</v>
      </c>
      <c r="I81" s="56"/>
      <c r="J81" s="7">
        <f t="shared" si="10"/>
        <v>0</v>
      </c>
    </row>
    <row r="82" spans="2:10" ht="15.75" x14ac:dyDescent="0.25">
      <c r="B82" s="9" t="s">
        <v>41</v>
      </c>
      <c r="C82" s="56"/>
      <c r="D82" s="6">
        <f t="shared" si="11"/>
        <v>0</v>
      </c>
      <c r="E82" s="56"/>
      <c r="F82" s="6">
        <f t="shared" si="12"/>
        <v>0</v>
      </c>
      <c r="G82" s="56"/>
      <c r="H82" s="6">
        <f t="shared" si="13"/>
        <v>0</v>
      </c>
      <c r="I82" s="56"/>
      <c r="J82" s="7">
        <f t="shared" si="10"/>
        <v>0</v>
      </c>
    </row>
    <row r="83" spans="2:10" ht="15.75" x14ac:dyDescent="0.25">
      <c r="B83" s="8" t="s">
        <v>36</v>
      </c>
      <c r="C83" s="56"/>
      <c r="D83" s="6">
        <f t="shared" si="11"/>
        <v>0</v>
      </c>
      <c r="E83" s="56"/>
      <c r="F83" s="6">
        <f t="shared" si="12"/>
        <v>0</v>
      </c>
      <c r="G83" s="56"/>
      <c r="H83" s="6">
        <f t="shared" si="13"/>
        <v>0</v>
      </c>
      <c r="I83" s="56"/>
      <c r="J83" s="7">
        <f t="shared" si="10"/>
        <v>0</v>
      </c>
    </row>
    <row r="84" spans="2:10" ht="15.75" x14ac:dyDescent="0.25">
      <c r="B84" s="8" t="s">
        <v>40</v>
      </c>
      <c r="C84" s="56"/>
      <c r="D84" s="6">
        <f t="shared" si="11"/>
        <v>0</v>
      </c>
      <c r="E84" s="56"/>
      <c r="F84" s="6">
        <f t="shared" si="12"/>
        <v>0</v>
      </c>
      <c r="G84" s="56"/>
      <c r="H84" s="6">
        <f t="shared" si="13"/>
        <v>0</v>
      </c>
      <c r="I84" s="56"/>
      <c r="J84" s="7">
        <f t="shared" si="10"/>
        <v>0</v>
      </c>
    </row>
    <row r="85" spans="2:10" ht="15.75" x14ac:dyDescent="0.25">
      <c r="B85" s="8" t="s">
        <v>46</v>
      </c>
      <c r="C85" s="56"/>
      <c r="D85" s="6">
        <f t="shared" si="11"/>
        <v>0</v>
      </c>
      <c r="E85" s="56"/>
      <c r="F85" s="6">
        <f t="shared" si="12"/>
        <v>0</v>
      </c>
      <c r="G85" s="56"/>
      <c r="H85" s="6">
        <f t="shared" si="13"/>
        <v>0</v>
      </c>
      <c r="I85" s="56"/>
      <c r="J85" s="7">
        <f t="shared" si="10"/>
        <v>0</v>
      </c>
    </row>
    <row r="86" spans="2:10" ht="15.75" x14ac:dyDescent="0.25">
      <c r="B86" s="8" t="s">
        <v>47</v>
      </c>
      <c r="C86" s="56"/>
      <c r="D86" s="6">
        <f t="shared" si="11"/>
        <v>0</v>
      </c>
      <c r="E86" s="56"/>
      <c r="F86" s="6">
        <f t="shared" si="12"/>
        <v>0</v>
      </c>
      <c r="G86" s="56"/>
      <c r="H86" s="6">
        <f t="shared" si="13"/>
        <v>0</v>
      </c>
      <c r="I86" s="56"/>
      <c r="J86" s="7">
        <f t="shared" si="10"/>
        <v>0</v>
      </c>
    </row>
    <row r="87" spans="2:10" ht="15.75" x14ac:dyDescent="0.25">
      <c r="B87" s="8" t="s">
        <v>48</v>
      </c>
      <c r="C87" s="56"/>
      <c r="D87" s="6">
        <f t="shared" si="11"/>
        <v>0</v>
      </c>
      <c r="E87" s="56"/>
      <c r="F87" s="6">
        <f t="shared" si="12"/>
        <v>0</v>
      </c>
      <c r="G87" s="56"/>
      <c r="H87" s="6">
        <f t="shared" si="13"/>
        <v>0</v>
      </c>
      <c r="I87" s="56"/>
      <c r="J87" s="7">
        <f t="shared" si="10"/>
        <v>0</v>
      </c>
    </row>
    <row r="88" spans="2:10" ht="15.75" x14ac:dyDescent="0.25">
      <c r="B88" s="8" t="s">
        <v>49</v>
      </c>
      <c r="C88" s="56"/>
      <c r="D88" s="6">
        <f t="shared" si="11"/>
        <v>0</v>
      </c>
      <c r="E88" s="56"/>
      <c r="F88" s="6">
        <f t="shared" si="12"/>
        <v>0</v>
      </c>
      <c r="G88" s="56"/>
      <c r="H88" s="6">
        <f t="shared" si="13"/>
        <v>0</v>
      </c>
      <c r="I88" s="56"/>
      <c r="J88" s="7">
        <f t="shared" si="10"/>
        <v>0</v>
      </c>
    </row>
    <row r="89" spans="2:10" ht="15.75" x14ac:dyDescent="0.25">
      <c r="B89" s="9" t="s">
        <v>50</v>
      </c>
      <c r="C89" s="56"/>
      <c r="D89" s="6">
        <f t="shared" si="11"/>
        <v>0</v>
      </c>
      <c r="E89" s="56"/>
      <c r="F89" s="6">
        <f t="shared" si="12"/>
        <v>0</v>
      </c>
      <c r="G89" s="56"/>
      <c r="H89" s="6">
        <f t="shared" si="13"/>
        <v>0</v>
      </c>
      <c r="I89" s="56"/>
      <c r="J89" s="7">
        <f t="shared" si="10"/>
        <v>0</v>
      </c>
    </row>
    <row r="90" spans="2:10" ht="15.75" x14ac:dyDescent="0.25">
      <c r="B90" s="9" t="s">
        <v>51</v>
      </c>
      <c r="C90" s="56"/>
      <c r="D90" s="6">
        <f t="shared" si="11"/>
        <v>0</v>
      </c>
      <c r="E90" s="56"/>
      <c r="F90" s="6">
        <f t="shared" si="12"/>
        <v>0</v>
      </c>
      <c r="G90" s="56"/>
      <c r="H90" s="6">
        <f t="shared" si="13"/>
        <v>0</v>
      </c>
      <c r="I90" s="56"/>
      <c r="J90" s="7">
        <f t="shared" si="10"/>
        <v>0</v>
      </c>
    </row>
    <row r="91" spans="2:10" ht="15.75" x14ac:dyDescent="0.25">
      <c r="B91" s="9" t="s">
        <v>52</v>
      </c>
      <c r="C91" s="56"/>
      <c r="D91" s="6">
        <f t="shared" si="11"/>
        <v>0</v>
      </c>
      <c r="E91" s="56"/>
      <c r="F91" s="6">
        <f t="shared" si="12"/>
        <v>0</v>
      </c>
      <c r="G91" s="56"/>
      <c r="H91" s="6">
        <f t="shared" si="13"/>
        <v>0</v>
      </c>
      <c r="I91" s="56"/>
      <c r="J91" s="7">
        <f t="shared" si="10"/>
        <v>0</v>
      </c>
    </row>
    <row r="92" spans="2:10" ht="15.75" x14ac:dyDescent="0.25">
      <c r="B92" s="8" t="s">
        <v>44</v>
      </c>
      <c r="C92" s="56"/>
      <c r="D92" s="6">
        <f t="shared" si="11"/>
        <v>0</v>
      </c>
      <c r="E92" s="56"/>
      <c r="F92" s="6">
        <f t="shared" si="12"/>
        <v>0</v>
      </c>
      <c r="G92" s="56"/>
      <c r="H92" s="6">
        <f t="shared" si="13"/>
        <v>0</v>
      </c>
      <c r="I92" s="56"/>
      <c r="J92" s="7">
        <f t="shared" si="10"/>
        <v>0</v>
      </c>
    </row>
    <row r="93" spans="2:10" ht="15.75" x14ac:dyDescent="0.25">
      <c r="B93" s="9" t="s">
        <v>23</v>
      </c>
      <c r="C93" s="56"/>
      <c r="D93" s="6">
        <f t="shared" si="11"/>
        <v>0</v>
      </c>
      <c r="E93" s="56"/>
      <c r="F93" s="6">
        <f t="shared" si="12"/>
        <v>0</v>
      </c>
      <c r="G93" s="56"/>
      <c r="H93" s="6">
        <f t="shared" si="13"/>
        <v>0</v>
      </c>
      <c r="I93" s="56"/>
      <c r="J93" s="7">
        <f t="shared" si="10"/>
        <v>0</v>
      </c>
    </row>
    <row r="94" spans="2:10" ht="15.75" x14ac:dyDescent="0.25">
      <c r="B94" s="9" t="s">
        <v>20</v>
      </c>
      <c r="C94" s="56"/>
      <c r="D94" s="6">
        <f t="shared" si="11"/>
        <v>0</v>
      </c>
      <c r="E94" s="56"/>
      <c r="F94" s="6">
        <f t="shared" si="12"/>
        <v>0</v>
      </c>
      <c r="G94" s="56"/>
      <c r="H94" s="6">
        <f t="shared" si="13"/>
        <v>0</v>
      </c>
      <c r="I94" s="56"/>
      <c r="J94" s="7">
        <f t="shared" si="10"/>
        <v>0</v>
      </c>
    </row>
    <row r="95" spans="2:10" ht="15.75" x14ac:dyDescent="0.25">
      <c r="B95" s="9" t="s">
        <v>21</v>
      </c>
      <c r="C95" s="56"/>
      <c r="D95" s="6">
        <f t="shared" si="11"/>
        <v>0</v>
      </c>
      <c r="E95" s="56"/>
      <c r="F95" s="6">
        <f t="shared" si="12"/>
        <v>0</v>
      </c>
      <c r="G95" s="56"/>
      <c r="H95" s="6">
        <f t="shared" si="13"/>
        <v>0</v>
      </c>
      <c r="I95" s="56"/>
      <c r="J95" s="7">
        <f t="shared" si="10"/>
        <v>0</v>
      </c>
    </row>
    <row r="96" spans="2:10" ht="15.75" x14ac:dyDescent="0.25">
      <c r="B96" s="8"/>
      <c r="J96" s="3"/>
    </row>
    <row r="97" spans="2:10" ht="15.75" x14ac:dyDescent="0.25">
      <c r="B97" s="11" t="s">
        <v>55</v>
      </c>
      <c r="C97" s="24">
        <v>0</v>
      </c>
      <c r="D97" s="6">
        <f t="shared" si="11"/>
        <v>0</v>
      </c>
      <c r="E97" s="24">
        <v>0</v>
      </c>
      <c r="F97" s="6">
        <f>IF($E$47="ERRO","ERRO",IF($E$47=0,0,E97/$E$47))</f>
        <v>0</v>
      </c>
      <c r="G97" s="24">
        <v>0</v>
      </c>
      <c r="H97" s="6">
        <f>IF($G$47="ERRO","ERRO",IF($G$47=0,0,G97/$G$47))</f>
        <v>0</v>
      </c>
      <c r="I97" s="24">
        <v>0</v>
      </c>
      <c r="J97" s="7">
        <f t="shared" si="10"/>
        <v>0</v>
      </c>
    </row>
    <row r="98" spans="2:10" ht="15.75" x14ac:dyDescent="0.25">
      <c r="B98" s="13"/>
      <c r="J98" s="3"/>
    </row>
    <row r="99" spans="2:10" ht="15.75" x14ac:dyDescent="0.25">
      <c r="B99" s="11" t="s">
        <v>56</v>
      </c>
      <c r="C99" s="24">
        <v>0</v>
      </c>
      <c r="D99" s="6">
        <f t="shared" si="11"/>
        <v>0</v>
      </c>
      <c r="E99" s="24">
        <v>0</v>
      </c>
      <c r="F99" s="6">
        <f>IF($E$47="ERRO","ERRO",IF($E$47=0,0,E99/$E$47))</f>
        <v>0</v>
      </c>
      <c r="G99" s="24">
        <v>0</v>
      </c>
      <c r="H99" s="6">
        <f>IF($G$47="ERRO","ERRO",IF($G$47=0,0,G99/$G$47))</f>
        <v>0</v>
      </c>
      <c r="I99" s="24">
        <v>0</v>
      </c>
      <c r="J99" s="7">
        <f t="shared" si="10"/>
        <v>0</v>
      </c>
    </row>
    <row r="100" spans="2:10" ht="15.75" x14ac:dyDescent="0.25">
      <c r="B100" s="13"/>
      <c r="J100" s="3"/>
    </row>
    <row r="101" spans="2:10" ht="15.75" x14ac:dyDescent="0.25">
      <c r="B101" s="10" t="s">
        <v>57</v>
      </c>
      <c r="C101" s="57"/>
      <c r="D101" s="6">
        <f t="shared" si="11"/>
        <v>0</v>
      </c>
      <c r="E101" s="57"/>
      <c r="F101" s="6">
        <f t="shared" ref="F101:F104" si="14">IF($E$47="ERRO","ERRO",IF($E$47=0,0,E101/$E$47))</f>
        <v>0</v>
      </c>
      <c r="G101" s="57"/>
      <c r="H101" s="6">
        <f t="shared" ref="H101:H104" si="15">IF($G$47="ERRO","ERRO",IF($G$47=0,0,G101/$G$47))</f>
        <v>0</v>
      </c>
      <c r="I101" s="57"/>
      <c r="J101" s="7">
        <f t="shared" si="10"/>
        <v>0</v>
      </c>
    </row>
    <row r="102" spans="2:10" ht="15.75" x14ac:dyDescent="0.25">
      <c r="B102" s="9" t="s">
        <v>58</v>
      </c>
      <c r="C102">
        <f>C101-C103-C104</f>
        <v>0</v>
      </c>
      <c r="D102" s="6">
        <f t="shared" si="11"/>
        <v>0</v>
      </c>
      <c r="E102">
        <f>E101-E103-E104</f>
        <v>0</v>
      </c>
      <c r="F102" s="6">
        <f t="shared" si="14"/>
        <v>0</v>
      </c>
      <c r="G102">
        <f>G101-G103-G104</f>
        <v>0</v>
      </c>
      <c r="H102" s="6">
        <f t="shared" si="15"/>
        <v>0</v>
      </c>
      <c r="I102">
        <f>I101-I103-I104</f>
        <v>0</v>
      </c>
      <c r="J102" s="7">
        <f t="shared" si="10"/>
        <v>0</v>
      </c>
    </row>
    <row r="103" spans="2:10" ht="15.75" x14ac:dyDescent="0.25">
      <c r="B103" s="8" t="s">
        <v>59</v>
      </c>
      <c r="D103" s="6">
        <f t="shared" si="11"/>
        <v>0</v>
      </c>
      <c r="F103" s="6">
        <f t="shared" si="14"/>
        <v>0</v>
      </c>
      <c r="H103" s="6">
        <f t="shared" si="15"/>
        <v>0</v>
      </c>
      <c r="J103" s="7">
        <f t="shared" si="10"/>
        <v>0</v>
      </c>
    </row>
    <row r="104" spans="2:10" ht="16.5" thickBot="1" x14ac:dyDescent="0.3">
      <c r="B104" s="14" t="s">
        <v>60</v>
      </c>
      <c r="C104" s="15">
        <f>C139</f>
        <v>0</v>
      </c>
      <c r="D104" s="16">
        <f t="shared" si="11"/>
        <v>0</v>
      </c>
      <c r="E104" s="15">
        <f>E139</f>
        <v>0</v>
      </c>
      <c r="F104" s="16">
        <f t="shared" si="14"/>
        <v>0</v>
      </c>
      <c r="G104" s="15">
        <f>G139</f>
        <v>0</v>
      </c>
      <c r="H104" s="16">
        <f t="shared" si="15"/>
        <v>0</v>
      </c>
      <c r="I104" s="15">
        <f>I139</f>
        <v>0</v>
      </c>
      <c r="J104" s="17">
        <f t="shared" si="10"/>
        <v>0</v>
      </c>
    </row>
    <row r="105" spans="2:10" ht="15.75" thickBot="1" x14ac:dyDescent="0.3"/>
    <row r="106" spans="2:10" ht="21.75" thickBot="1" x14ac:dyDescent="0.4">
      <c r="B106" s="61" t="s">
        <v>61</v>
      </c>
      <c r="C106" s="62"/>
      <c r="D106" s="62"/>
      <c r="E106" s="62"/>
      <c r="F106" s="62"/>
      <c r="G106" s="62"/>
      <c r="H106" s="62"/>
      <c r="I106" s="62"/>
      <c r="J106" s="63"/>
    </row>
    <row r="107" spans="2:10" x14ac:dyDescent="0.25">
      <c r="B107" s="23"/>
      <c r="C107" s="24" t="s">
        <v>62</v>
      </c>
      <c r="D107" s="24"/>
      <c r="E107" s="24" t="s">
        <v>64</v>
      </c>
      <c r="F107" s="24"/>
      <c r="G107" s="24" t="s">
        <v>65</v>
      </c>
      <c r="H107" s="24"/>
      <c r="I107" s="24" t="s">
        <v>66</v>
      </c>
      <c r="J107" s="25"/>
    </row>
    <row r="108" spans="2:10" x14ac:dyDescent="0.25">
      <c r="B108" s="23" t="s">
        <v>63</v>
      </c>
      <c r="C108" s="26">
        <v>12</v>
      </c>
      <c r="D108" s="26"/>
      <c r="E108" s="26">
        <v>12</v>
      </c>
      <c r="F108" s="26"/>
      <c r="G108" s="26">
        <v>12</v>
      </c>
      <c r="H108" s="26"/>
      <c r="I108" s="26">
        <v>12</v>
      </c>
      <c r="J108" s="27"/>
    </row>
    <row r="109" spans="2:10" x14ac:dyDescent="0.25">
      <c r="B109" s="23"/>
      <c r="C109" s="26" t="s">
        <v>67</v>
      </c>
      <c r="D109" s="26" t="s">
        <v>93</v>
      </c>
      <c r="E109" s="26" t="s">
        <v>67</v>
      </c>
      <c r="F109" s="26" t="s">
        <v>93</v>
      </c>
      <c r="G109" s="26" t="s">
        <v>67</v>
      </c>
      <c r="H109" s="26" t="s">
        <v>93</v>
      </c>
      <c r="I109" s="26" t="s">
        <v>67</v>
      </c>
      <c r="J109" s="27" t="s">
        <v>93</v>
      </c>
    </row>
    <row r="110" spans="2:10" x14ac:dyDescent="0.25">
      <c r="B110" s="2"/>
      <c r="C110" s="4"/>
      <c r="D110" s="4"/>
      <c r="E110" s="4"/>
      <c r="F110" s="4"/>
      <c r="G110" s="4"/>
      <c r="H110" s="4"/>
      <c r="I110" s="4"/>
      <c r="J110" s="5"/>
    </row>
    <row r="111" spans="2:10" ht="15.75" x14ac:dyDescent="0.25">
      <c r="B111" s="11" t="s">
        <v>68</v>
      </c>
      <c r="C111" s="58"/>
      <c r="D111">
        <f>IF($C$113=0,0,C111/$C$113)</f>
        <v>0</v>
      </c>
      <c r="E111" s="58"/>
      <c r="F111">
        <f>IF($E$113=0,0,E111/$E$113)</f>
        <v>0</v>
      </c>
      <c r="G111" s="58"/>
      <c r="H111">
        <f>IF($G$113=0,0,G111/$G$113)</f>
        <v>0</v>
      </c>
      <c r="I111" s="58"/>
      <c r="J111" s="3">
        <f>IF($I$113=0,0,I111/$I$113)</f>
        <v>0</v>
      </c>
    </row>
    <row r="112" spans="2:10" ht="15.75" x14ac:dyDescent="0.25">
      <c r="B112" s="8" t="s">
        <v>69</v>
      </c>
      <c r="C112" s="56"/>
      <c r="D112">
        <f t="shared" ref="D112:D139" si="16">IF($C$113=0,0,C112/$C$113)</f>
        <v>0</v>
      </c>
      <c r="E112" s="56"/>
      <c r="F112">
        <f t="shared" ref="F112:F139" si="17">IF($E$113=0,0,E112/$E$113)</f>
        <v>0</v>
      </c>
      <c r="G112" s="56"/>
      <c r="H112">
        <f t="shared" ref="H112:H139" si="18">IF($G$113=0,0,G112/$G$113)</f>
        <v>0</v>
      </c>
      <c r="I112" s="56"/>
      <c r="J112" s="3">
        <f t="shared" ref="J112:J139" si="19">IF($I$113=0,0,I112/$I$113)</f>
        <v>0</v>
      </c>
    </row>
    <row r="113" spans="2:10" ht="15.75" x14ac:dyDescent="0.25">
      <c r="B113" s="11" t="s">
        <v>70</v>
      </c>
      <c r="C113" s="18">
        <f>C111-C112</f>
        <v>0</v>
      </c>
      <c r="D113">
        <f t="shared" si="16"/>
        <v>0</v>
      </c>
      <c r="E113" s="18">
        <f>E111-E112</f>
        <v>0</v>
      </c>
      <c r="F113">
        <f t="shared" si="17"/>
        <v>0</v>
      </c>
      <c r="G113" s="18">
        <f>G111-G112</f>
        <v>0</v>
      </c>
      <c r="H113">
        <f t="shared" si="18"/>
        <v>0</v>
      </c>
      <c r="I113" s="18">
        <f>I111-I112</f>
        <v>0</v>
      </c>
      <c r="J113" s="3">
        <f t="shared" si="19"/>
        <v>0</v>
      </c>
    </row>
    <row r="114" spans="2:10" ht="15.75" x14ac:dyDescent="0.25">
      <c r="B114" s="8" t="s">
        <v>71</v>
      </c>
      <c r="C114">
        <f>SUM(C115:C118)</f>
        <v>0</v>
      </c>
      <c r="D114">
        <f t="shared" si="16"/>
        <v>0</v>
      </c>
      <c r="E114">
        <f>SUM(E115:E118)</f>
        <v>0</v>
      </c>
      <c r="F114">
        <f t="shared" si="17"/>
        <v>0</v>
      </c>
      <c r="G114">
        <f>SUM(G115:G118)</f>
        <v>0</v>
      </c>
      <c r="H114">
        <f t="shared" si="18"/>
        <v>0</v>
      </c>
      <c r="I114">
        <f>SUM(I115:I118)</f>
        <v>0</v>
      </c>
      <c r="J114" s="3">
        <f t="shared" si="19"/>
        <v>0</v>
      </c>
    </row>
    <row r="115" spans="2:10" ht="15.75" x14ac:dyDescent="0.25">
      <c r="B115" s="19" t="s">
        <v>94</v>
      </c>
      <c r="C115" s="56"/>
      <c r="D115">
        <f t="shared" si="16"/>
        <v>0</v>
      </c>
      <c r="E115" s="56"/>
      <c r="F115">
        <f t="shared" si="17"/>
        <v>0</v>
      </c>
      <c r="G115" s="56"/>
      <c r="H115">
        <f t="shared" si="18"/>
        <v>0</v>
      </c>
      <c r="I115" s="56"/>
      <c r="J115" s="3">
        <f t="shared" si="19"/>
        <v>0</v>
      </c>
    </row>
    <row r="116" spans="2:10" ht="15.75" x14ac:dyDescent="0.25">
      <c r="B116" s="19" t="s">
        <v>95</v>
      </c>
      <c r="C116" s="56"/>
      <c r="D116">
        <f t="shared" si="16"/>
        <v>0</v>
      </c>
      <c r="E116" s="56"/>
      <c r="F116">
        <f t="shared" si="17"/>
        <v>0</v>
      </c>
      <c r="G116" s="56"/>
      <c r="H116">
        <f t="shared" si="18"/>
        <v>0</v>
      </c>
      <c r="I116" s="56"/>
      <c r="J116" s="3">
        <f t="shared" si="19"/>
        <v>0</v>
      </c>
    </row>
    <row r="117" spans="2:10" ht="15.75" x14ac:dyDescent="0.25">
      <c r="B117" s="19" t="s">
        <v>96</v>
      </c>
      <c r="C117" s="56"/>
      <c r="D117">
        <f t="shared" si="16"/>
        <v>0</v>
      </c>
      <c r="E117" s="56"/>
      <c r="F117">
        <f t="shared" si="17"/>
        <v>0</v>
      </c>
      <c r="G117" s="56"/>
      <c r="H117">
        <f t="shared" si="18"/>
        <v>0</v>
      </c>
      <c r="I117" s="56"/>
      <c r="J117" s="3">
        <f t="shared" si="19"/>
        <v>0</v>
      </c>
    </row>
    <row r="118" spans="2:10" ht="15.75" x14ac:dyDescent="0.25">
      <c r="B118" s="19" t="s">
        <v>97</v>
      </c>
      <c r="C118" s="56"/>
      <c r="D118">
        <f t="shared" si="16"/>
        <v>0</v>
      </c>
      <c r="E118" s="56"/>
      <c r="F118">
        <f t="shared" si="17"/>
        <v>0</v>
      </c>
      <c r="G118" s="56"/>
      <c r="H118">
        <f t="shared" si="18"/>
        <v>0</v>
      </c>
      <c r="I118" s="56"/>
      <c r="J118" s="3">
        <f t="shared" si="19"/>
        <v>0</v>
      </c>
    </row>
    <row r="119" spans="2:10" ht="15.75" x14ac:dyDescent="0.25">
      <c r="B119" s="11" t="s">
        <v>72</v>
      </c>
      <c r="C119" s="18">
        <f>C113-C114</f>
        <v>0</v>
      </c>
      <c r="D119">
        <f t="shared" si="16"/>
        <v>0</v>
      </c>
      <c r="E119" s="18">
        <f>E113-E114</f>
        <v>0</v>
      </c>
      <c r="F119">
        <f t="shared" si="17"/>
        <v>0</v>
      </c>
      <c r="G119" s="18">
        <f>G113-G114</f>
        <v>0</v>
      </c>
      <c r="H119">
        <f t="shared" si="18"/>
        <v>0</v>
      </c>
      <c r="I119" s="18">
        <f>I113-I114</f>
        <v>0</v>
      </c>
      <c r="J119" s="3">
        <f t="shared" si="19"/>
        <v>0</v>
      </c>
    </row>
    <row r="120" spans="2:10" ht="15.75" x14ac:dyDescent="0.25">
      <c r="B120" s="8" t="s">
        <v>73</v>
      </c>
      <c r="C120">
        <f>SUM(C121:C123)</f>
        <v>0</v>
      </c>
      <c r="D120">
        <f t="shared" si="16"/>
        <v>0</v>
      </c>
      <c r="E120">
        <f>SUM(E121:E123)</f>
        <v>0</v>
      </c>
      <c r="F120">
        <f t="shared" si="17"/>
        <v>0</v>
      </c>
      <c r="G120">
        <f>SUM(G121:G123)</f>
        <v>0</v>
      </c>
      <c r="H120">
        <f t="shared" si="18"/>
        <v>0</v>
      </c>
      <c r="I120">
        <f>SUM(I121:I123)</f>
        <v>0</v>
      </c>
      <c r="J120" s="3">
        <f t="shared" si="19"/>
        <v>0</v>
      </c>
    </row>
    <row r="121" spans="2:10" ht="15.75" x14ac:dyDescent="0.25">
      <c r="B121" s="19" t="s">
        <v>74</v>
      </c>
      <c r="C121" s="56"/>
      <c r="D121">
        <f t="shared" si="16"/>
        <v>0</v>
      </c>
      <c r="E121" s="56"/>
      <c r="F121">
        <f t="shared" si="17"/>
        <v>0</v>
      </c>
      <c r="G121" s="56"/>
      <c r="H121">
        <f t="shared" si="18"/>
        <v>0</v>
      </c>
      <c r="I121" s="56"/>
      <c r="J121" s="3">
        <f t="shared" si="19"/>
        <v>0</v>
      </c>
    </row>
    <row r="122" spans="2:10" ht="15.75" x14ac:dyDescent="0.25">
      <c r="B122" s="19" t="s">
        <v>75</v>
      </c>
      <c r="C122" s="56"/>
      <c r="D122">
        <f t="shared" si="16"/>
        <v>0</v>
      </c>
      <c r="E122" s="56"/>
      <c r="F122">
        <f t="shared" si="17"/>
        <v>0</v>
      </c>
      <c r="G122" s="56"/>
      <c r="H122">
        <f t="shared" si="18"/>
        <v>0</v>
      </c>
      <c r="I122" s="56"/>
      <c r="J122" s="3">
        <f t="shared" si="19"/>
        <v>0</v>
      </c>
    </row>
    <row r="123" spans="2:10" ht="15.75" x14ac:dyDescent="0.25">
      <c r="B123" s="19" t="s">
        <v>76</v>
      </c>
      <c r="C123" s="56"/>
      <c r="D123">
        <f t="shared" si="16"/>
        <v>0</v>
      </c>
      <c r="E123" s="56"/>
      <c r="F123">
        <f t="shared" si="17"/>
        <v>0</v>
      </c>
      <c r="G123" s="56"/>
      <c r="H123">
        <f t="shared" si="18"/>
        <v>0</v>
      </c>
      <c r="I123" s="56"/>
      <c r="J123" s="3">
        <f t="shared" si="19"/>
        <v>0</v>
      </c>
    </row>
    <row r="124" spans="2:10" ht="15.75" x14ac:dyDescent="0.25">
      <c r="B124" s="11" t="s">
        <v>77</v>
      </c>
      <c r="C124" s="18">
        <f>C119-C120</f>
        <v>0</v>
      </c>
      <c r="D124">
        <f t="shared" si="16"/>
        <v>0</v>
      </c>
      <c r="E124" s="18">
        <f>E119-E120</f>
        <v>0</v>
      </c>
      <c r="F124">
        <f t="shared" si="17"/>
        <v>0</v>
      </c>
      <c r="G124" s="18">
        <f>G119-G120</f>
        <v>0</v>
      </c>
      <c r="H124">
        <f t="shared" si="18"/>
        <v>0</v>
      </c>
      <c r="I124" s="18">
        <f>I119-I120</f>
        <v>0</v>
      </c>
      <c r="J124" s="3">
        <f t="shared" si="19"/>
        <v>0</v>
      </c>
    </row>
    <row r="125" spans="2:10" ht="15.75" x14ac:dyDescent="0.25">
      <c r="B125" s="8" t="s">
        <v>78</v>
      </c>
      <c r="C125">
        <f>SUM(C126:C127)</f>
        <v>0</v>
      </c>
      <c r="D125">
        <f t="shared" si="16"/>
        <v>0</v>
      </c>
      <c r="E125">
        <f>SUM(E126:E127)</f>
        <v>0</v>
      </c>
      <c r="F125">
        <f t="shared" si="17"/>
        <v>0</v>
      </c>
      <c r="G125">
        <f>SUM(G126:G127)</f>
        <v>0</v>
      </c>
      <c r="H125">
        <f t="shared" si="18"/>
        <v>0</v>
      </c>
      <c r="I125">
        <f>SUM(I126:I127)</f>
        <v>0</v>
      </c>
      <c r="J125" s="3">
        <f t="shared" si="19"/>
        <v>0</v>
      </c>
    </row>
    <row r="126" spans="2:10" ht="15.75" x14ac:dyDescent="0.25">
      <c r="B126" s="19" t="s">
        <v>79</v>
      </c>
      <c r="C126" s="56"/>
      <c r="D126">
        <f t="shared" si="16"/>
        <v>0</v>
      </c>
      <c r="E126" s="56"/>
      <c r="F126">
        <f t="shared" si="17"/>
        <v>0</v>
      </c>
      <c r="G126" s="56"/>
      <c r="H126">
        <f t="shared" si="18"/>
        <v>0</v>
      </c>
      <c r="I126" s="56"/>
      <c r="J126" s="3">
        <f t="shared" si="19"/>
        <v>0</v>
      </c>
    </row>
    <row r="127" spans="2:10" ht="15.75" x14ac:dyDescent="0.25">
      <c r="B127" s="19" t="s">
        <v>80</v>
      </c>
      <c r="C127" s="56"/>
      <c r="D127">
        <f t="shared" si="16"/>
        <v>0</v>
      </c>
      <c r="E127" s="56"/>
      <c r="F127">
        <f t="shared" si="17"/>
        <v>0</v>
      </c>
      <c r="G127" s="56"/>
      <c r="H127">
        <f t="shared" si="18"/>
        <v>0</v>
      </c>
      <c r="I127" s="56"/>
      <c r="J127" s="3">
        <f t="shared" si="19"/>
        <v>0</v>
      </c>
    </row>
    <row r="128" spans="2:10" ht="15.75" x14ac:dyDescent="0.25">
      <c r="B128" s="8" t="s">
        <v>81</v>
      </c>
      <c r="C128" s="56"/>
      <c r="D128">
        <f t="shared" si="16"/>
        <v>0</v>
      </c>
      <c r="E128" s="56"/>
      <c r="F128">
        <f t="shared" si="17"/>
        <v>0</v>
      </c>
      <c r="G128" s="56"/>
      <c r="H128">
        <f t="shared" si="18"/>
        <v>0</v>
      </c>
      <c r="I128" s="56"/>
      <c r="J128" s="3">
        <f t="shared" si="19"/>
        <v>0</v>
      </c>
    </row>
    <row r="129" spans="2:10" ht="15.75" x14ac:dyDescent="0.25">
      <c r="B129" s="8" t="s">
        <v>82</v>
      </c>
      <c r="C129" s="56"/>
      <c r="D129">
        <f t="shared" si="16"/>
        <v>0</v>
      </c>
      <c r="E129" s="56"/>
      <c r="F129">
        <f t="shared" si="17"/>
        <v>0</v>
      </c>
      <c r="G129" s="56"/>
      <c r="H129">
        <f t="shared" si="18"/>
        <v>0</v>
      </c>
      <c r="I129" s="56"/>
      <c r="J129" s="3">
        <f t="shared" si="19"/>
        <v>0</v>
      </c>
    </row>
    <row r="130" spans="2:10" ht="15.75" x14ac:dyDescent="0.25">
      <c r="B130" s="11" t="s">
        <v>83</v>
      </c>
      <c r="C130" s="18">
        <f>C124-C125+C128+C129</f>
        <v>0</v>
      </c>
      <c r="D130">
        <f t="shared" si="16"/>
        <v>0</v>
      </c>
      <c r="E130" s="18">
        <f>E124-E125+E128+E129</f>
        <v>0</v>
      </c>
      <c r="F130">
        <f t="shared" si="17"/>
        <v>0</v>
      </c>
      <c r="G130" s="18">
        <f>G124-G125+G128+G129</f>
        <v>0</v>
      </c>
      <c r="H130">
        <f t="shared" si="18"/>
        <v>0</v>
      </c>
      <c r="I130" s="18">
        <f>I124-I125+I128+I129</f>
        <v>0</v>
      </c>
      <c r="J130" s="3">
        <f t="shared" si="19"/>
        <v>0</v>
      </c>
    </row>
    <row r="131" spans="2:10" ht="15.75" x14ac:dyDescent="0.25">
      <c r="B131" s="8" t="s">
        <v>84</v>
      </c>
      <c r="C131" s="56"/>
      <c r="D131">
        <f t="shared" si="16"/>
        <v>0</v>
      </c>
      <c r="E131" s="56"/>
      <c r="F131">
        <f t="shared" si="17"/>
        <v>0</v>
      </c>
      <c r="G131" s="56"/>
      <c r="H131">
        <f t="shared" si="18"/>
        <v>0</v>
      </c>
      <c r="I131" s="56"/>
      <c r="J131" s="3">
        <f t="shared" si="19"/>
        <v>0</v>
      </c>
    </row>
    <row r="132" spans="2:10" ht="15.75" x14ac:dyDescent="0.25">
      <c r="B132" s="8" t="s">
        <v>85</v>
      </c>
      <c r="C132" s="56"/>
      <c r="D132">
        <f t="shared" si="16"/>
        <v>0</v>
      </c>
      <c r="E132" s="56"/>
      <c r="F132">
        <f t="shared" si="17"/>
        <v>0</v>
      </c>
      <c r="G132" s="56"/>
      <c r="H132">
        <f t="shared" si="18"/>
        <v>0</v>
      </c>
      <c r="I132" s="56"/>
      <c r="J132" s="3">
        <f t="shared" si="19"/>
        <v>0</v>
      </c>
    </row>
    <row r="133" spans="2:10" ht="15.75" x14ac:dyDescent="0.25">
      <c r="B133" s="8" t="s">
        <v>86</v>
      </c>
      <c r="C133" s="56"/>
      <c r="D133">
        <f t="shared" si="16"/>
        <v>0</v>
      </c>
      <c r="E133" s="56"/>
      <c r="F133">
        <f t="shared" si="17"/>
        <v>0</v>
      </c>
      <c r="G133" s="56"/>
      <c r="H133">
        <f t="shared" si="18"/>
        <v>0</v>
      </c>
      <c r="I133" s="56"/>
      <c r="J133" s="3">
        <f t="shared" si="19"/>
        <v>0</v>
      </c>
    </row>
    <row r="134" spans="2:10" ht="15.75" x14ac:dyDescent="0.25">
      <c r="B134" s="8" t="s">
        <v>87</v>
      </c>
      <c r="C134" s="56"/>
      <c r="D134">
        <f t="shared" si="16"/>
        <v>0</v>
      </c>
      <c r="E134" s="56"/>
      <c r="F134">
        <f t="shared" si="17"/>
        <v>0</v>
      </c>
      <c r="G134" s="56"/>
      <c r="H134">
        <f t="shared" si="18"/>
        <v>0</v>
      </c>
      <c r="I134" s="56"/>
      <c r="J134" s="3">
        <f t="shared" si="19"/>
        <v>0</v>
      </c>
    </row>
    <row r="135" spans="2:10" ht="15.75" x14ac:dyDescent="0.25">
      <c r="B135" s="11" t="s">
        <v>88</v>
      </c>
      <c r="C135" s="18">
        <f>C130-SUM(C131:C134)</f>
        <v>0</v>
      </c>
      <c r="D135">
        <f t="shared" si="16"/>
        <v>0</v>
      </c>
      <c r="E135" s="18">
        <f>E130-SUM(E131:E134)</f>
        <v>0</v>
      </c>
      <c r="F135">
        <f t="shared" si="17"/>
        <v>0</v>
      </c>
      <c r="G135" s="18">
        <f>G130-SUM(G131:G134)</f>
        <v>0</v>
      </c>
      <c r="H135">
        <f t="shared" si="18"/>
        <v>0</v>
      </c>
      <c r="I135" s="18">
        <f>I130-SUM(I131:I134)</f>
        <v>0</v>
      </c>
      <c r="J135" s="3">
        <f t="shared" si="19"/>
        <v>0</v>
      </c>
    </row>
    <row r="136" spans="2:10" ht="15.75" x14ac:dyDescent="0.25">
      <c r="B136" s="8" t="s">
        <v>89</v>
      </c>
      <c r="C136" s="56"/>
      <c r="D136">
        <f t="shared" si="16"/>
        <v>0</v>
      </c>
      <c r="E136" s="56"/>
      <c r="F136">
        <f t="shared" si="17"/>
        <v>0</v>
      </c>
      <c r="G136" s="56"/>
      <c r="H136">
        <f t="shared" si="18"/>
        <v>0</v>
      </c>
      <c r="I136" s="56"/>
      <c r="J136" s="3">
        <f t="shared" si="19"/>
        <v>0</v>
      </c>
    </row>
    <row r="137" spans="2:10" ht="15.75" x14ac:dyDescent="0.25">
      <c r="B137" s="11" t="s">
        <v>90</v>
      </c>
      <c r="C137" s="18">
        <f>C135+C136</f>
        <v>0</v>
      </c>
      <c r="D137">
        <f t="shared" si="16"/>
        <v>0</v>
      </c>
      <c r="E137" s="18">
        <f>E135+E136</f>
        <v>0</v>
      </c>
      <c r="F137">
        <f t="shared" si="17"/>
        <v>0</v>
      </c>
      <c r="G137" s="18">
        <f>G135+G136</f>
        <v>0</v>
      </c>
      <c r="H137">
        <f t="shared" si="18"/>
        <v>0</v>
      </c>
      <c r="I137" s="18">
        <f>I135+I136</f>
        <v>0</v>
      </c>
      <c r="J137" s="3">
        <f t="shared" si="19"/>
        <v>0</v>
      </c>
    </row>
    <row r="138" spans="2:10" ht="15.75" x14ac:dyDescent="0.25">
      <c r="B138" s="8" t="s">
        <v>91</v>
      </c>
      <c r="C138" s="56"/>
      <c r="D138">
        <f t="shared" si="16"/>
        <v>0</v>
      </c>
      <c r="E138" s="56"/>
      <c r="F138">
        <f t="shared" si="17"/>
        <v>0</v>
      </c>
      <c r="G138" s="56"/>
      <c r="H138">
        <f t="shared" si="18"/>
        <v>0</v>
      </c>
      <c r="I138" s="56"/>
      <c r="J138" s="3">
        <f t="shared" si="19"/>
        <v>0</v>
      </c>
    </row>
    <row r="139" spans="2:10" ht="16.5" thickBot="1" x14ac:dyDescent="0.3">
      <c r="B139" s="20" t="s">
        <v>92</v>
      </c>
      <c r="C139" s="21">
        <f>C137+C138</f>
        <v>0</v>
      </c>
      <c r="D139" s="15">
        <f t="shared" si="16"/>
        <v>0</v>
      </c>
      <c r="E139" s="21">
        <f>E137+E138</f>
        <v>0</v>
      </c>
      <c r="F139" s="15">
        <f t="shared" si="17"/>
        <v>0</v>
      </c>
      <c r="G139" s="21">
        <f>G137+G138</f>
        <v>0</v>
      </c>
      <c r="H139" s="15">
        <f t="shared" si="18"/>
        <v>0</v>
      </c>
      <c r="I139" s="21">
        <f>I137+I138</f>
        <v>0</v>
      </c>
      <c r="J139" s="22">
        <f t="shared" si="19"/>
        <v>0</v>
      </c>
    </row>
    <row r="142" spans="2:10" ht="15.75" thickBot="1" x14ac:dyDescent="0.3"/>
    <row r="143" spans="2:10" ht="15.75" thickBot="1" x14ac:dyDescent="0.3">
      <c r="B143" s="64" t="s">
        <v>98</v>
      </c>
      <c r="C143" s="65"/>
      <c r="D143" s="65"/>
      <c r="E143" s="65"/>
      <c r="F143" s="65"/>
      <c r="G143" s="65"/>
      <c r="H143" s="65"/>
      <c r="I143" s="65"/>
      <c r="J143" s="66"/>
    </row>
    <row r="144" spans="2:10" x14ac:dyDescent="0.25">
      <c r="B144" s="33"/>
      <c r="J144" s="34"/>
    </row>
    <row r="145" spans="2:10" x14ac:dyDescent="0.25">
      <c r="B145" s="45" t="s">
        <v>99</v>
      </c>
      <c r="C145" s="46">
        <f>C148-C149</f>
        <v>0</v>
      </c>
      <c r="D145" s="46"/>
      <c r="E145" s="46">
        <f>E148-E149</f>
        <v>0</v>
      </c>
      <c r="F145" s="46"/>
      <c r="G145" s="46">
        <f>G148-G149</f>
        <v>0</v>
      </c>
      <c r="H145" s="46"/>
      <c r="I145" s="46">
        <f>I148-I149</f>
        <v>0</v>
      </c>
      <c r="J145" s="47"/>
    </row>
    <row r="146" spans="2:10" x14ac:dyDescent="0.25">
      <c r="B146" s="35" t="s">
        <v>100</v>
      </c>
      <c r="C146">
        <f>C54</f>
        <v>0</v>
      </c>
      <c r="E146">
        <f>E54</f>
        <v>0</v>
      </c>
      <c r="G146">
        <f>G54</f>
        <v>0</v>
      </c>
      <c r="I146">
        <f>I54</f>
        <v>0</v>
      </c>
      <c r="J146" s="34"/>
    </row>
    <row r="147" spans="2:10" x14ac:dyDescent="0.25">
      <c r="B147" s="35" t="s">
        <v>101</v>
      </c>
      <c r="C147">
        <f>C80</f>
        <v>0</v>
      </c>
      <c r="E147">
        <f>E80</f>
        <v>0</v>
      </c>
      <c r="G147">
        <f>G80</f>
        <v>0</v>
      </c>
      <c r="I147">
        <f>I80</f>
        <v>0</v>
      </c>
      <c r="J147" s="34"/>
    </row>
    <row r="148" spans="2:10" x14ac:dyDescent="0.25">
      <c r="B148" s="35" t="s">
        <v>102</v>
      </c>
      <c r="C148">
        <f>SUM(C146:C147)</f>
        <v>0</v>
      </c>
      <c r="E148">
        <f>SUM(E146:E147)</f>
        <v>0</v>
      </c>
      <c r="G148">
        <f>SUM(G146:G147)</f>
        <v>0</v>
      </c>
      <c r="I148">
        <f>SUM(I146:I147)</f>
        <v>0</v>
      </c>
      <c r="J148" s="34"/>
    </row>
    <row r="149" spans="2:10" x14ac:dyDescent="0.25">
      <c r="B149" s="45" t="s">
        <v>104</v>
      </c>
      <c r="C149" s="46">
        <f>SUM(C12:C13)</f>
        <v>0</v>
      </c>
      <c r="D149" s="46"/>
      <c r="E149" s="46">
        <f>SUM(E12:E13)</f>
        <v>0</v>
      </c>
      <c r="F149" s="46"/>
      <c r="G149" s="46">
        <f>SUM(G12:G13)</f>
        <v>0</v>
      </c>
      <c r="H149" s="46"/>
      <c r="I149" s="46">
        <f>SUM(I12:I13)</f>
        <v>0</v>
      </c>
      <c r="J149" s="47"/>
    </row>
    <row r="150" spans="2:10" x14ac:dyDescent="0.25">
      <c r="B150" s="35" t="s">
        <v>105</v>
      </c>
      <c r="C150">
        <f>C11-C51</f>
        <v>0</v>
      </c>
      <c r="E150">
        <f>E11-E51</f>
        <v>0</v>
      </c>
      <c r="G150">
        <f>G11-G51</f>
        <v>0</v>
      </c>
      <c r="I150">
        <f>I11-I51</f>
        <v>0</v>
      </c>
      <c r="J150" s="34"/>
    </row>
    <row r="151" spans="2:10" x14ac:dyDescent="0.25">
      <c r="B151" s="35" t="s">
        <v>106</v>
      </c>
      <c r="C151">
        <f>SUM(C101+C99)-C42</f>
        <v>0</v>
      </c>
      <c r="E151">
        <f>SUM(E101+E99)-E42</f>
        <v>0</v>
      </c>
      <c r="G151">
        <f>SUM(G101+G99)-G42</f>
        <v>0</v>
      </c>
      <c r="I151">
        <f>SUM(I101+I99)-I42</f>
        <v>0</v>
      </c>
      <c r="J151" s="34"/>
    </row>
    <row r="152" spans="2:10" ht="15.75" thickBot="1" x14ac:dyDescent="0.3">
      <c r="B152" s="33"/>
      <c r="J152" s="34"/>
    </row>
    <row r="153" spans="2:10" ht="15.75" thickBot="1" x14ac:dyDescent="0.3">
      <c r="B153" s="64" t="s">
        <v>107</v>
      </c>
      <c r="C153" s="65"/>
      <c r="D153" s="65"/>
      <c r="E153" s="65"/>
      <c r="F153" s="65"/>
      <c r="G153" s="65"/>
      <c r="H153" s="65"/>
      <c r="I153" s="65"/>
      <c r="J153" s="66"/>
    </row>
    <row r="154" spans="2:10" x14ac:dyDescent="0.25">
      <c r="B154" s="33"/>
      <c r="J154" s="34"/>
    </row>
    <row r="155" spans="2:10" x14ac:dyDescent="0.25">
      <c r="B155" s="35" t="s">
        <v>108</v>
      </c>
      <c r="J155" s="34"/>
    </row>
    <row r="156" spans="2:10" x14ac:dyDescent="0.25">
      <c r="B156" s="33" t="s">
        <v>109</v>
      </c>
      <c r="C156">
        <f>IF(C108=0,0,(C124+C129)/C108*12)</f>
        <v>0</v>
      </c>
      <c r="E156">
        <f>IF(E108=0,0,(E124+E129)/E108*12)</f>
        <v>0</v>
      </c>
      <c r="G156">
        <f>IF(G108=0,0,(G124+G129)/G108*12)</f>
        <v>0</v>
      </c>
      <c r="I156">
        <f>IF(I108=0,0,(I124+I129)/I108*12)</f>
        <v>0</v>
      </c>
      <c r="J156" s="34"/>
    </row>
    <row r="157" spans="2:10" x14ac:dyDescent="0.25">
      <c r="B157" s="33" t="s">
        <v>110</v>
      </c>
      <c r="C157">
        <f>IF(C108=0,0,(C115+C116+C123)/12*C108+C156)</f>
        <v>0</v>
      </c>
      <c r="E157">
        <f>IF(E108=0,0,(E115+E116+E123)/12*E108+E156)</f>
        <v>0</v>
      </c>
      <c r="G157">
        <f>IF(G108=0,0,(G115+G116+G123)/12*G108+G156)</f>
        <v>0</v>
      </c>
      <c r="I157">
        <f>IF(I108=0,0,(I115+I116+I123)/12*I108+I156)</f>
        <v>0</v>
      </c>
      <c r="J157" s="34"/>
    </row>
    <row r="158" spans="2:10" x14ac:dyDescent="0.25">
      <c r="B158" s="33" t="s">
        <v>111</v>
      </c>
      <c r="C158">
        <f>IF(C163=0,0,IF(C108=0,"-",C157/(C163*12)))</f>
        <v>0</v>
      </c>
      <c r="E158">
        <f>IF(E163=0,0,IF(E108=0,"-",E157/(E163*12)))</f>
        <v>0</v>
      </c>
      <c r="G158">
        <f>IF(G163=0,0,IF(G108=0,"-",G157/(G163*12)))</f>
        <v>0</v>
      </c>
      <c r="I158">
        <f>IF(I163=0,0,IF(I108=0,"-",I157/(I163*12)))</f>
        <v>0</v>
      </c>
      <c r="J158" s="34"/>
    </row>
    <row r="159" spans="2:10" x14ac:dyDescent="0.25">
      <c r="B159" s="33" t="s">
        <v>112</v>
      </c>
      <c r="C159" s="36" t="str">
        <f>IF(C108=0,"N/A",IF(C125&lt;=0,"N/A",(C115+C124+C129)/C125))</f>
        <v>N/A</v>
      </c>
      <c r="D159" s="36"/>
      <c r="E159" s="36" t="str">
        <f>IF(E108=0,"N/A",IF(E125&lt;=0,"N/A",(E115+E124+E129)/E125))</f>
        <v>N/A</v>
      </c>
      <c r="F159" s="36"/>
      <c r="G159" s="36" t="str">
        <f>IF(G108=0,"N/A",IF(G125&lt;=0,"N/A",(G115+G124+G129)/G125))</f>
        <v>N/A</v>
      </c>
      <c r="H159" s="36"/>
      <c r="I159" s="36" t="str">
        <f>IF(I108=0,"N/A",IF(I125&lt;=0,"N/A",(I115+I124+I129)/I125))</f>
        <v>N/A</v>
      </c>
      <c r="J159" s="34"/>
    </row>
    <row r="160" spans="2:10" ht="15.75" thickBot="1" x14ac:dyDescent="0.3">
      <c r="B160" s="43" t="s">
        <v>113</v>
      </c>
      <c r="C160" s="44" t="str">
        <f>IF(C108=0,0,IF(C145&lt;0,"Aplicador",IF(C157&lt;=0,"N/A",C145/C157)))</f>
        <v>N/A</v>
      </c>
      <c r="D160" s="41"/>
      <c r="E160" s="44" t="str">
        <f>IF(E108=0,0,IF(E145&lt;0,"Aplicador",IF(E157&lt;=0,"N/A",E145/E157)))</f>
        <v>N/A</v>
      </c>
      <c r="F160" s="41"/>
      <c r="G160" s="44" t="str">
        <f>IF(G108=0,0,IF(G145&lt;0,"Aplicador",IF(G157&lt;=0,"N/A",G145/G157)))</f>
        <v>N/A</v>
      </c>
      <c r="H160" s="41"/>
      <c r="I160" s="44" t="str">
        <f>IF(I108=0,0,IF(I145&lt;0,"Aplicador",IF(I157&lt;=0,"N/A",I145/I157)))</f>
        <v>N/A</v>
      </c>
      <c r="J160" s="42"/>
    </row>
    <row r="161" spans="2:10" x14ac:dyDescent="0.25">
      <c r="B161" s="33"/>
      <c r="J161" s="34"/>
    </row>
    <row r="162" spans="2:10" x14ac:dyDescent="0.25">
      <c r="B162" s="35" t="s">
        <v>114</v>
      </c>
      <c r="J162" s="34"/>
    </row>
    <row r="163" spans="2:10" ht="15.75" x14ac:dyDescent="0.25">
      <c r="B163" s="37" t="s">
        <v>115</v>
      </c>
      <c r="C163">
        <f>C113/C108</f>
        <v>0</v>
      </c>
      <c r="E163">
        <f>E113/E108</f>
        <v>0</v>
      </c>
      <c r="G163">
        <f>G113/G108</f>
        <v>0</v>
      </c>
      <c r="I163">
        <f>I113/I108</f>
        <v>0</v>
      </c>
      <c r="J163" s="34"/>
    </row>
    <row r="164" spans="2:10" ht="15.75" x14ac:dyDescent="0.25">
      <c r="B164" s="38" t="s">
        <v>116</v>
      </c>
      <c r="J164" s="34"/>
    </row>
    <row r="165" spans="2:10" ht="15.75" x14ac:dyDescent="0.25">
      <c r="B165" s="39" t="s">
        <v>117</v>
      </c>
      <c r="C165" t="e">
        <f>(C17+C18)/(C118/C108)*30</f>
        <v>#DIV/0!</v>
      </c>
      <c r="E165" t="e">
        <f>(E17+E18)/(E118/E108)*30</f>
        <v>#DIV/0!</v>
      </c>
      <c r="G165" t="e">
        <f>(G17+G18)/(G118/G108)*30</f>
        <v>#DIV/0!</v>
      </c>
      <c r="I165" t="e">
        <f>(I17+I18)/(I118/I108)*30</f>
        <v>#DIV/0!</v>
      </c>
      <c r="J165" s="34"/>
    </row>
    <row r="166" spans="2:10" ht="15.75" x14ac:dyDescent="0.25">
      <c r="B166" s="39" t="s">
        <v>118</v>
      </c>
      <c r="C166" t="e">
        <f>(C14+C15+C16)/(C111/C108)*30</f>
        <v>#DIV/0!</v>
      </c>
      <c r="E166" t="e">
        <f>(E14+E15+E16)/(E111/E108)*30</f>
        <v>#DIV/0!</v>
      </c>
      <c r="G166" t="e">
        <f>(G14+G15+G16)/(G111/G108)*30</f>
        <v>#DIV/0!</v>
      </c>
      <c r="I166" t="e">
        <f>(I14+I15+I16)/(I111/I108)*30</f>
        <v>#DIV/0!</v>
      </c>
      <c r="J166" s="34"/>
    </row>
    <row r="167" spans="2:10" ht="15.75" x14ac:dyDescent="0.25">
      <c r="B167" s="39" t="s">
        <v>119</v>
      </c>
      <c r="C167" t="e">
        <f>(C52+C53)/((C17+C18)-C118)/C108*30</f>
        <v>#DIV/0!</v>
      </c>
      <c r="E167" t="e">
        <f>(E52+E53)/((E17+E18)-E118)/E108*30</f>
        <v>#DIV/0!</v>
      </c>
      <c r="G167" t="e">
        <f>(G52+G53)/((G17+G18)-G118)/G108*30</f>
        <v>#DIV/0!</v>
      </c>
      <c r="I167" t="e">
        <f>(I52+I53)/((I17+I18)-I118)/I108*30</f>
        <v>#DIV/0!</v>
      </c>
      <c r="J167" s="34"/>
    </row>
    <row r="168" spans="2:10" ht="16.5" thickBot="1" x14ac:dyDescent="0.3">
      <c r="B168" s="40" t="s">
        <v>120</v>
      </c>
      <c r="C168" s="41" t="e">
        <f>C165+C166-C167</f>
        <v>#DIV/0!</v>
      </c>
      <c r="D168" s="41"/>
      <c r="E168" s="41" t="e">
        <f>E165+E166-E167</f>
        <v>#DIV/0!</v>
      </c>
      <c r="F168" s="41"/>
      <c r="G168" s="41" t="e">
        <f>G165+G166-G167</f>
        <v>#DIV/0!</v>
      </c>
      <c r="H168" s="41"/>
      <c r="I168" s="41" t="e">
        <f>I165+I166-I167</f>
        <v>#DIV/0!</v>
      </c>
      <c r="J168" s="42"/>
    </row>
  </sheetData>
  <mergeCells count="17">
    <mergeCell ref="E2:F2"/>
    <mergeCell ref="E3:F3"/>
    <mergeCell ref="B106:J106"/>
    <mergeCell ref="B143:J143"/>
    <mergeCell ref="B153:J153"/>
    <mergeCell ref="G1:H1"/>
    <mergeCell ref="G2:H2"/>
    <mergeCell ref="G3:H3"/>
    <mergeCell ref="I1:J1"/>
    <mergeCell ref="I2:J2"/>
    <mergeCell ref="I3:J3"/>
    <mergeCell ref="B7:J7"/>
    <mergeCell ref="B5:J5"/>
    <mergeCell ref="C1:D1"/>
    <mergeCell ref="C2:D2"/>
    <mergeCell ref="C3:D3"/>
    <mergeCell ref="E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7D2F-8ABC-49B6-803E-2E31045A7A8E}">
  <dimension ref="B1:J168"/>
  <sheetViews>
    <sheetView workbookViewId="0">
      <selection activeCell="C6" sqref="C6"/>
    </sheetView>
  </sheetViews>
  <sheetFormatPr defaultRowHeight="15" x14ac:dyDescent="0.25"/>
  <cols>
    <col min="2" max="2" width="41" bestFit="1" customWidth="1"/>
    <col min="3" max="3" width="17.5703125" bestFit="1" customWidth="1"/>
    <col min="4" max="4" width="3.5703125" bestFit="1" customWidth="1"/>
    <col min="5" max="5" width="17.5703125" bestFit="1" customWidth="1"/>
    <col min="6" max="6" width="3.5703125" bestFit="1" customWidth="1"/>
    <col min="7" max="7" width="17.5703125" bestFit="1" customWidth="1"/>
    <col min="8" max="8" width="3.5703125" bestFit="1" customWidth="1"/>
    <col min="9" max="9" width="17.5703125" bestFit="1" customWidth="1"/>
    <col min="10" max="10" width="3.5703125" bestFit="1" customWidth="1"/>
  </cols>
  <sheetData>
    <row r="1" spans="2:10" x14ac:dyDescent="0.25">
      <c r="B1" s="1" t="s">
        <v>0</v>
      </c>
      <c r="C1" s="60">
        <f>SUM(C11+C29+C42)</f>
        <v>0</v>
      </c>
      <c r="D1" s="60"/>
      <c r="E1" s="60">
        <f>SUM(E11+E29+E42)</f>
        <v>0</v>
      </c>
      <c r="F1" s="60"/>
      <c r="G1" s="60">
        <f>SUM(G11+G29+G42)</f>
        <v>0</v>
      </c>
      <c r="H1" s="60"/>
      <c r="I1" s="60">
        <f>SUM(I11+I29+I42)</f>
        <v>0</v>
      </c>
      <c r="J1" s="60"/>
    </row>
    <row r="2" spans="2:10" x14ac:dyDescent="0.25">
      <c r="B2" s="1" t="s">
        <v>1</v>
      </c>
      <c r="C2" s="60">
        <f>C51+C79+C97+C99+C101</f>
        <v>0</v>
      </c>
      <c r="D2" s="60"/>
      <c r="E2" s="60">
        <f>E51+E79+E97+E99+E101</f>
        <v>0</v>
      </c>
      <c r="F2" s="60"/>
      <c r="G2" s="60">
        <f>G51+G79+G97+G99+G101</f>
        <v>0</v>
      </c>
      <c r="H2" s="60"/>
      <c r="I2" s="60">
        <f>I51+I79+I97+I99+I101</f>
        <v>0</v>
      </c>
      <c r="J2" s="60"/>
    </row>
    <row r="3" spans="2:10" x14ac:dyDescent="0.25">
      <c r="B3" s="1" t="s">
        <v>2</v>
      </c>
      <c r="C3" s="60">
        <f>C1-C2</f>
        <v>0</v>
      </c>
      <c r="D3" s="60"/>
      <c r="E3" s="60">
        <f>E1-E2</f>
        <v>0</v>
      </c>
      <c r="F3" s="60"/>
      <c r="G3" s="60">
        <f>G1-G2</f>
        <v>0</v>
      </c>
      <c r="H3" s="60"/>
      <c r="I3" s="60">
        <f>I1-I2</f>
        <v>0</v>
      </c>
      <c r="J3" s="60"/>
    </row>
    <row r="5" spans="2:10" ht="18.75" x14ac:dyDescent="0.3">
      <c r="B5" s="67" t="s">
        <v>143</v>
      </c>
      <c r="C5" s="67"/>
      <c r="D5" s="67"/>
      <c r="E5" s="67"/>
      <c r="F5" s="67"/>
      <c r="G5" s="67"/>
      <c r="H5" s="67"/>
      <c r="I5" s="67"/>
      <c r="J5" s="67"/>
    </row>
    <row r="6" spans="2:10" ht="15.75" thickBot="1" x14ac:dyDescent="0.3"/>
    <row r="7" spans="2:10" ht="21.75" thickBot="1" x14ac:dyDescent="0.4">
      <c r="B7" s="61" t="s">
        <v>4</v>
      </c>
      <c r="C7" s="62"/>
      <c r="D7" s="62"/>
      <c r="E7" s="62"/>
      <c r="F7" s="62"/>
      <c r="G7" s="62"/>
      <c r="H7" s="62"/>
      <c r="I7" s="62"/>
      <c r="J7" s="63"/>
    </row>
    <row r="8" spans="2:10" x14ac:dyDescent="0.25">
      <c r="B8" s="23"/>
      <c r="C8" s="59">
        <v>44896</v>
      </c>
      <c r="D8" s="32"/>
      <c r="E8" s="59">
        <v>45261</v>
      </c>
      <c r="F8" s="32"/>
      <c r="G8" s="59">
        <v>45627</v>
      </c>
      <c r="H8" s="32"/>
      <c r="I8" s="59">
        <v>45992</v>
      </c>
      <c r="J8" s="25"/>
    </row>
    <row r="9" spans="2:10" x14ac:dyDescent="0.25">
      <c r="B9" s="23" t="s">
        <v>5</v>
      </c>
      <c r="C9" s="26" t="s">
        <v>6</v>
      </c>
      <c r="D9" s="26" t="s">
        <v>93</v>
      </c>
      <c r="E9" s="26" t="s">
        <v>6</v>
      </c>
      <c r="F9" s="26" t="s">
        <v>93</v>
      </c>
      <c r="G9" s="26" t="s">
        <v>6</v>
      </c>
      <c r="H9" s="26" t="s">
        <v>93</v>
      </c>
      <c r="I9" s="26" t="s">
        <v>6</v>
      </c>
      <c r="J9" s="27" t="s">
        <v>93</v>
      </c>
    </row>
    <row r="10" spans="2:10" x14ac:dyDescent="0.25">
      <c r="B10" s="2"/>
      <c r="J10" s="3"/>
    </row>
    <row r="11" spans="2:10" x14ac:dyDescent="0.25">
      <c r="B11" s="23" t="s">
        <v>7</v>
      </c>
      <c r="C11" s="24">
        <f>SUM(C12:C27)</f>
        <v>0</v>
      </c>
      <c r="D11" s="6">
        <f t="shared" ref="D11:D27" si="0">IF($C$48="ERRO","ERRO",IF($C$48=0,0,C11/$C$48))</f>
        <v>0</v>
      </c>
      <c r="E11" s="24">
        <f>SUM(E12:E27)</f>
        <v>0</v>
      </c>
      <c r="F11" s="6">
        <f t="shared" ref="F11:F27" si="1">IF($E$48="ERRO","ERRO",IF($E$48=0,0,E11/$E$48))</f>
        <v>0</v>
      </c>
      <c r="G11" s="24">
        <f>SUM(G12:G27)</f>
        <v>0</v>
      </c>
      <c r="H11" s="6">
        <f t="shared" ref="H11:H27" si="2">IF($G$48="ERRO","ERRO",IF($G$48=0,0,G11/$G$48))</f>
        <v>0</v>
      </c>
      <c r="I11" s="24">
        <f>SUM(I12:I27)</f>
        <v>0</v>
      </c>
      <c r="J11" s="7">
        <f t="shared" ref="J11:J27" si="3">IF($I$48="ERRO","ERRO",IF($I$48=0,0,I11/$I$48))</f>
        <v>0</v>
      </c>
    </row>
    <row r="12" spans="2:10" ht="15.75" x14ac:dyDescent="0.25">
      <c r="B12" s="8" t="s">
        <v>8</v>
      </c>
      <c r="C12" s="56"/>
      <c r="D12" s="6">
        <f t="shared" si="0"/>
        <v>0</v>
      </c>
      <c r="E12" s="56"/>
      <c r="F12" s="6">
        <f t="shared" si="1"/>
        <v>0</v>
      </c>
      <c r="G12" s="56"/>
      <c r="H12" s="6">
        <f t="shared" si="2"/>
        <v>0</v>
      </c>
      <c r="I12" s="56"/>
      <c r="J12" s="7">
        <f t="shared" si="3"/>
        <v>0</v>
      </c>
    </row>
    <row r="13" spans="2:10" ht="15.75" x14ac:dyDescent="0.25">
      <c r="B13" s="8" t="s">
        <v>9</v>
      </c>
      <c r="C13" s="56"/>
      <c r="D13" s="6">
        <f t="shared" si="0"/>
        <v>0</v>
      </c>
      <c r="E13" s="56"/>
      <c r="F13" s="6">
        <f t="shared" si="1"/>
        <v>0</v>
      </c>
      <c r="G13" s="56"/>
      <c r="H13" s="6">
        <f t="shared" si="2"/>
        <v>0</v>
      </c>
      <c r="I13" s="56"/>
      <c r="J13" s="7">
        <f t="shared" si="3"/>
        <v>0</v>
      </c>
    </row>
    <row r="14" spans="2:10" ht="15.75" x14ac:dyDescent="0.25">
      <c r="B14" s="8" t="s">
        <v>10</v>
      </c>
      <c r="C14" s="56"/>
      <c r="D14" s="6">
        <f t="shared" si="0"/>
        <v>0</v>
      </c>
      <c r="E14" s="56"/>
      <c r="F14" s="6">
        <f t="shared" si="1"/>
        <v>0</v>
      </c>
      <c r="G14" s="56"/>
      <c r="H14" s="6">
        <f t="shared" si="2"/>
        <v>0</v>
      </c>
      <c r="I14" s="56"/>
      <c r="J14" s="7">
        <f t="shared" si="3"/>
        <v>0</v>
      </c>
    </row>
    <row r="15" spans="2:10" ht="15.75" x14ac:dyDescent="0.25">
      <c r="B15" s="8" t="s">
        <v>11</v>
      </c>
      <c r="C15" s="56"/>
      <c r="D15" s="6">
        <f t="shared" si="0"/>
        <v>0</v>
      </c>
      <c r="E15" s="56"/>
      <c r="F15" s="6">
        <f t="shared" si="1"/>
        <v>0</v>
      </c>
      <c r="G15" s="56"/>
      <c r="H15" s="6">
        <f t="shared" si="2"/>
        <v>0</v>
      </c>
      <c r="I15" s="56"/>
      <c r="J15" s="7">
        <f t="shared" si="3"/>
        <v>0</v>
      </c>
    </row>
    <row r="16" spans="2:10" ht="15.75" x14ac:dyDescent="0.25">
      <c r="B16" s="8" t="s">
        <v>12</v>
      </c>
      <c r="C16" s="56"/>
      <c r="D16" s="6">
        <f t="shared" si="0"/>
        <v>0</v>
      </c>
      <c r="E16" s="56"/>
      <c r="F16" s="6">
        <f t="shared" si="1"/>
        <v>0</v>
      </c>
      <c r="G16" s="56"/>
      <c r="H16" s="6">
        <f t="shared" si="2"/>
        <v>0</v>
      </c>
      <c r="I16" s="56"/>
      <c r="J16" s="7">
        <f t="shared" si="3"/>
        <v>0</v>
      </c>
    </row>
    <row r="17" spans="2:10" ht="15.75" x14ac:dyDescent="0.25">
      <c r="B17" s="8" t="s">
        <v>13</v>
      </c>
      <c r="C17" s="56"/>
      <c r="D17" s="6">
        <f t="shared" si="0"/>
        <v>0</v>
      </c>
      <c r="E17" s="56"/>
      <c r="F17" s="6">
        <f t="shared" si="1"/>
        <v>0</v>
      </c>
      <c r="G17" s="56"/>
      <c r="H17" s="6">
        <f t="shared" si="2"/>
        <v>0</v>
      </c>
      <c r="I17" s="56"/>
      <c r="J17" s="7">
        <f t="shared" si="3"/>
        <v>0</v>
      </c>
    </row>
    <row r="18" spans="2:10" ht="15.75" x14ac:dyDescent="0.25">
      <c r="B18" s="8" t="s">
        <v>14</v>
      </c>
      <c r="C18" s="56"/>
      <c r="D18" s="6">
        <f t="shared" si="0"/>
        <v>0</v>
      </c>
      <c r="E18" s="56"/>
      <c r="F18" s="6">
        <f t="shared" si="1"/>
        <v>0</v>
      </c>
      <c r="G18" s="56"/>
      <c r="H18" s="6">
        <f t="shared" si="2"/>
        <v>0</v>
      </c>
      <c r="I18" s="56"/>
      <c r="J18" s="7">
        <f t="shared" si="3"/>
        <v>0</v>
      </c>
    </row>
    <row r="19" spans="2:10" ht="15.75" x14ac:dyDescent="0.25">
      <c r="B19" s="8" t="s">
        <v>15</v>
      </c>
      <c r="C19" s="56"/>
      <c r="D19" s="6">
        <f t="shared" si="0"/>
        <v>0</v>
      </c>
      <c r="E19" s="56"/>
      <c r="F19" s="6">
        <f t="shared" si="1"/>
        <v>0</v>
      </c>
      <c r="G19" s="56"/>
      <c r="H19" s="6">
        <f t="shared" si="2"/>
        <v>0</v>
      </c>
      <c r="I19" s="56"/>
      <c r="J19" s="7">
        <f t="shared" si="3"/>
        <v>0</v>
      </c>
    </row>
    <row r="20" spans="2:10" ht="15.75" x14ac:dyDescent="0.25">
      <c r="B20" s="8" t="s">
        <v>16</v>
      </c>
      <c r="C20" s="56"/>
      <c r="D20" s="6">
        <f t="shared" si="0"/>
        <v>0</v>
      </c>
      <c r="E20" s="56"/>
      <c r="F20" s="6">
        <f t="shared" si="1"/>
        <v>0</v>
      </c>
      <c r="G20" s="56"/>
      <c r="H20" s="6">
        <f t="shared" si="2"/>
        <v>0</v>
      </c>
      <c r="I20" s="56"/>
      <c r="J20" s="7">
        <f t="shared" si="3"/>
        <v>0</v>
      </c>
    </row>
    <row r="21" spans="2:10" ht="15.75" x14ac:dyDescent="0.25">
      <c r="B21" s="8" t="s">
        <v>17</v>
      </c>
      <c r="C21" s="56"/>
      <c r="D21" s="6">
        <f t="shared" si="0"/>
        <v>0</v>
      </c>
      <c r="E21" s="56"/>
      <c r="F21" s="6">
        <f t="shared" si="1"/>
        <v>0</v>
      </c>
      <c r="G21" s="56"/>
      <c r="H21" s="6">
        <f t="shared" si="2"/>
        <v>0</v>
      </c>
      <c r="I21" s="56"/>
      <c r="J21" s="7">
        <f t="shared" si="3"/>
        <v>0</v>
      </c>
    </row>
    <row r="22" spans="2:10" ht="15.75" x14ac:dyDescent="0.25">
      <c r="B22" s="9" t="s">
        <v>18</v>
      </c>
      <c r="C22" s="56"/>
      <c r="D22" s="6">
        <f t="shared" si="0"/>
        <v>0</v>
      </c>
      <c r="E22" s="56"/>
      <c r="F22" s="6">
        <f t="shared" si="1"/>
        <v>0</v>
      </c>
      <c r="G22" s="56"/>
      <c r="H22" s="6">
        <f t="shared" si="2"/>
        <v>0</v>
      </c>
      <c r="I22" s="56"/>
      <c r="J22" s="7">
        <f t="shared" si="3"/>
        <v>0</v>
      </c>
    </row>
    <row r="23" spans="2:10" ht="15.75" x14ac:dyDescent="0.25">
      <c r="B23" s="9" t="s">
        <v>19</v>
      </c>
      <c r="C23" s="56"/>
      <c r="D23" s="6">
        <f t="shared" si="0"/>
        <v>0</v>
      </c>
      <c r="E23" s="56"/>
      <c r="F23" s="6">
        <f t="shared" si="1"/>
        <v>0</v>
      </c>
      <c r="G23" s="56"/>
      <c r="H23" s="6">
        <f t="shared" si="2"/>
        <v>0</v>
      </c>
      <c r="I23" s="56"/>
      <c r="J23" s="7">
        <f t="shared" si="3"/>
        <v>0</v>
      </c>
    </row>
    <row r="24" spans="2:10" ht="15.75" x14ac:dyDescent="0.25">
      <c r="B24" s="9" t="s">
        <v>20</v>
      </c>
      <c r="C24" s="56"/>
      <c r="D24" s="6">
        <f t="shared" si="0"/>
        <v>0</v>
      </c>
      <c r="E24" s="56"/>
      <c r="F24" s="6">
        <f t="shared" si="1"/>
        <v>0</v>
      </c>
      <c r="G24" s="56"/>
      <c r="H24" s="6">
        <f t="shared" si="2"/>
        <v>0</v>
      </c>
      <c r="I24" s="56"/>
      <c r="J24" s="7">
        <f t="shared" si="3"/>
        <v>0</v>
      </c>
    </row>
    <row r="25" spans="2:10" ht="15.75" x14ac:dyDescent="0.25">
      <c r="B25" s="9" t="s">
        <v>20</v>
      </c>
      <c r="C25" s="56"/>
      <c r="D25" s="6">
        <f t="shared" si="0"/>
        <v>0</v>
      </c>
      <c r="E25" s="56"/>
      <c r="F25" s="6">
        <f t="shared" si="1"/>
        <v>0</v>
      </c>
      <c r="G25" s="56"/>
      <c r="H25" s="6">
        <f t="shared" si="2"/>
        <v>0</v>
      </c>
      <c r="I25" s="56"/>
      <c r="J25" s="7">
        <f t="shared" si="3"/>
        <v>0</v>
      </c>
    </row>
    <row r="26" spans="2:10" ht="15.75" x14ac:dyDescent="0.25">
      <c r="B26" s="9" t="s">
        <v>21</v>
      </c>
      <c r="C26" s="56"/>
      <c r="D26" s="6">
        <f t="shared" si="0"/>
        <v>0</v>
      </c>
      <c r="E26" s="56"/>
      <c r="F26" s="6">
        <f t="shared" si="1"/>
        <v>0</v>
      </c>
      <c r="G26" s="56"/>
      <c r="H26" s="6">
        <f t="shared" si="2"/>
        <v>0</v>
      </c>
      <c r="I26" s="56"/>
      <c r="J26" s="7">
        <f t="shared" si="3"/>
        <v>0</v>
      </c>
    </row>
    <row r="27" spans="2:10" ht="15.75" x14ac:dyDescent="0.25">
      <c r="B27" s="9" t="s">
        <v>21</v>
      </c>
      <c r="C27" s="56"/>
      <c r="D27" s="6">
        <f t="shared" si="0"/>
        <v>0</v>
      </c>
      <c r="E27" s="56"/>
      <c r="F27" s="6">
        <f t="shared" si="1"/>
        <v>0</v>
      </c>
      <c r="G27" s="56"/>
      <c r="H27" s="6">
        <f t="shared" si="2"/>
        <v>0</v>
      </c>
      <c r="I27" s="56"/>
      <c r="J27" s="7">
        <f t="shared" si="3"/>
        <v>0</v>
      </c>
    </row>
    <row r="28" spans="2:10" x14ac:dyDescent="0.25">
      <c r="B28" s="2"/>
      <c r="D28" s="6"/>
      <c r="F28" s="6"/>
      <c r="H28" s="6"/>
      <c r="J28" s="7"/>
    </row>
    <row r="29" spans="2:10" ht="15.75" x14ac:dyDescent="0.25">
      <c r="B29" s="10" t="s">
        <v>22</v>
      </c>
      <c r="C29" s="24">
        <f>SUM(C30:C40)</f>
        <v>0</v>
      </c>
      <c r="D29" s="6">
        <f t="shared" ref="D29:D40" si="4">IF($C$48="ERRO","ERRO",IF($C$48=0,0,C29/$C$48))</f>
        <v>0</v>
      </c>
      <c r="E29" s="24">
        <f>SUM(E30:E40)</f>
        <v>0</v>
      </c>
      <c r="F29" s="6">
        <f t="shared" ref="F29:F40" si="5">IF($E$48="ERRO","ERRO",IF($E$48=0,0,E29/$E$48))</f>
        <v>0</v>
      </c>
      <c r="G29" s="24">
        <f>SUM(G30:G40)</f>
        <v>0</v>
      </c>
      <c r="H29" s="6">
        <f t="shared" ref="H29:H40" si="6">IF($G$48="ERRO","ERRO",IF($G$48=0,0,G29/$G$48))</f>
        <v>0</v>
      </c>
      <c r="I29" s="24">
        <f>SUM(I30:I40)</f>
        <v>0</v>
      </c>
      <c r="J29" s="7">
        <f t="shared" ref="J29:J40" si="7">IF($I$48="ERRO","ERRO",IF($I$48=0,0,I29/$I$48))</f>
        <v>0</v>
      </c>
    </row>
    <row r="30" spans="2:10" ht="15.75" x14ac:dyDescent="0.25">
      <c r="B30" s="8" t="s">
        <v>10</v>
      </c>
      <c r="C30" s="56"/>
      <c r="D30" s="6">
        <f t="shared" si="4"/>
        <v>0</v>
      </c>
      <c r="E30" s="56"/>
      <c r="F30" s="6">
        <f t="shared" si="5"/>
        <v>0</v>
      </c>
      <c r="G30" s="56"/>
      <c r="H30" s="6">
        <f t="shared" si="6"/>
        <v>0</v>
      </c>
      <c r="I30" s="56"/>
      <c r="J30" s="7">
        <f t="shared" si="7"/>
        <v>0</v>
      </c>
    </row>
    <row r="31" spans="2:10" ht="15.75" x14ac:dyDescent="0.25">
      <c r="B31" s="8" t="s">
        <v>11</v>
      </c>
      <c r="C31" s="56"/>
      <c r="D31" s="6">
        <f t="shared" si="4"/>
        <v>0</v>
      </c>
      <c r="E31" s="56"/>
      <c r="F31" s="6">
        <f t="shared" si="5"/>
        <v>0</v>
      </c>
      <c r="G31" s="56"/>
      <c r="H31" s="6">
        <f t="shared" si="6"/>
        <v>0</v>
      </c>
      <c r="I31" s="56"/>
      <c r="J31" s="7">
        <f t="shared" si="7"/>
        <v>0</v>
      </c>
    </row>
    <row r="32" spans="2:10" ht="15.75" x14ac:dyDescent="0.25">
      <c r="B32" s="8" t="s">
        <v>23</v>
      </c>
      <c r="C32" s="56"/>
      <c r="D32" s="6">
        <f t="shared" si="4"/>
        <v>0</v>
      </c>
      <c r="E32" s="56"/>
      <c r="F32" s="6">
        <f t="shared" si="5"/>
        <v>0</v>
      </c>
      <c r="G32" s="56"/>
      <c r="H32" s="6">
        <f t="shared" si="6"/>
        <v>0</v>
      </c>
      <c r="I32" s="56"/>
      <c r="J32" s="7">
        <f t="shared" si="7"/>
        <v>0</v>
      </c>
    </row>
    <row r="33" spans="2:10" ht="15.75" x14ac:dyDescent="0.25">
      <c r="B33" s="9" t="s">
        <v>24</v>
      </c>
      <c r="C33" s="56"/>
      <c r="D33" s="6">
        <f t="shared" si="4"/>
        <v>0</v>
      </c>
      <c r="E33" s="56"/>
      <c r="F33" s="6">
        <f t="shared" si="5"/>
        <v>0</v>
      </c>
      <c r="G33" s="56"/>
      <c r="H33" s="6">
        <f t="shared" si="6"/>
        <v>0</v>
      </c>
      <c r="I33" s="56"/>
      <c r="J33" s="7">
        <f t="shared" si="7"/>
        <v>0</v>
      </c>
    </row>
    <row r="34" spans="2:10" ht="15.75" x14ac:dyDescent="0.25">
      <c r="B34" s="9" t="s">
        <v>19</v>
      </c>
      <c r="C34" s="56"/>
      <c r="D34" s="6">
        <f t="shared" si="4"/>
        <v>0</v>
      </c>
      <c r="E34" s="56"/>
      <c r="F34" s="6">
        <f t="shared" si="5"/>
        <v>0</v>
      </c>
      <c r="G34" s="56"/>
      <c r="H34" s="6">
        <f t="shared" si="6"/>
        <v>0</v>
      </c>
      <c r="I34" s="56"/>
      <c r="J34" s="7">
        <f t="shared" si="7"/>
        <v>0</v>
      </c>
    </row>
    <row r="35" spans="2:10" ht="15.75" x14ac:dyDescent="0.25">
      <c r="B35" s="8" t="s">
        <v>15</v>
      </c>
      <c r="C35" s="56"/>
      <c r="D35" s="6">
        <f t="shared" si="4"/>
        <v>0</v>
      </c>
      <c r="E35" s="56"/>
      <c r="F35" s="6">
        <f t="shared" si="5"/>
        <v>0</v>
      </c>
      <c r="G35" s="56"/>
      <c r="H35" s="6">
        <f t="shared" si="6"/>
        <v>0</v>
      </c>
      <c r="I35" s="56"/>
      <c r="J35" s="7">
        <f t="shared" si="7"/>
        <v>0</v>
      </c>
    </row>
    <row r="36" spans="2:10" ht="15.75" x14ac:dyDescent="0.25">
      <c r="B36" s="9" t="s">
        <v>25</v>
      </c>
      <c r="C36" s="56"/>
      <c r="D36" s="6">
        <f t="shared" si="4"/>
        <v>0</v>
      </c>
      <c r="E36" s="56"/>
      <c r="F36" s="6">
        <f t="shared" si="5"/>
        <v>0</v>
      </c>
      <c r="G36" s="56"/>
      <c r="H36" s="6">
        <f t="shared" si="6"/>
        <v>0</v>
      </c>
      <c r="I36" s="56"/>
      <c r="J36" s="7">
        <f t="shared" si="7"/>
        <v>0</v>
      </c>
    </row>
    <row r="37" spans="2:10" ht="15.75" x14ac:dyDescent="0.25">
      <c r="B37" s="9" t="s">
        <v>20</v>
      </c>
      <c r="C37" s="56"/>
      <c r="D37" s="6">
        <f t="shared" si="4"/>
        <v>0</v>
      </c>
      <c r="E37" s="56"/>
      <c r="F37" s="6">
        <f t="shared" si="5"/>
        <v>0</v>
      </c>
      <c r="G37" s="56"/>
      <c r="H37" s="6">
        <f t="shared" si="6"/>
        <v>0</v>
      </c>
      <c r="I37" s="56"/>
      <c r="J37" s="7">
        <f t="shared" si="7"/>
        <v>0</v>
      </c>
    </row>
    <row r="38" spans="2:10" ht="15.75" x14ac:dyDescent="0.25">
      <c r="B38" s="9" t="s">
        <v>20</v>
      </c>
      <c r="C38" s="56"/>
      <c r="D38" s="6">
        <f t="shared" si="4"/>
        <v>0</v>
      </c>
      <c r="E38" s="56"/>
      <c r="F38" s="6">
        <f t="shared" si="5"/>
        <v>0</v>
      </c>
      <c r="G38" s="56"/>
      <c r="H38" s="6">
        <f t="shared" si="6"/>
        <v>0</v>
      </c>
      <c r="I38" s="56"/>
      <c r="J38" s="7">
        <f t="shared" si="7"/>
        <v>0</v>
      </c>
    </row>
    <row r="39" spans="2:10" ht="15.75" x14ac:dyDescent="0.25">
      <c r="B39" s="9" t="s">
        <v>21</v>
      </c>
      <c r="C39" s="56"/>
      <c r="D39" s="6">
        <f t="shared" si="4"/>
        <v>0</v>
      </c>
      <c r="E39" s="56"/>
      <c r="F39" s="6">
        <f t="shared" si="5"/>
        <v>0</v>
      </c>
      <c r="G39" s="56"/>
      <c r="H39" s="6">
        <f t="shared" si="6"/>
        <v>0</v>
      </c>
      <c r="I39" s="56"/>
      <c r="J39" s="7">
        <f t="shared" si="7"/>
        <v>0</v>
      </c>
    </row>
    <row r="40" spans="2:10" ht="15.75" x14ac:dyDescent="0.25">
      <c r="B40" s="9" t="s">
        <v>21</v>
      </c>
      <c r="C40" s="56"/>
      <c r="D40" s="6">
        <f t="shared" si="4"/>
        <v>0</v>
      </c>
      <c r="E40" s="56"/>
      <c r="F40" s="6">
        <f t="shared" si="5"/>
        <v>0</v>
      </c>
      <c r="G40" s="56"/>
      <c r="H40" s="6">
        <f t="shared" si="6"/>
        <v>0</v>
      </c>
      <c r="I40" s="56"/>
      <c r="J40" s="7">
        <f t="shared" si="7"/>
        <v>0</v>
      </c>
    </row>
    <row r="41" spans="2:10" ht="15.75" x14ac:dyDescent="0.25">
      <c r="B41" s="8"/>
      <c r="D41" s="6"/>
      <c r="F41" s="6"/>
      <c r="H41" s="6"/>
      <c r="J41" s="7"/>
    </row>
    <row r="42" spans="2:10" ht="15.75" x14ac:dyDescent="0.25">
      <c r="B42" s="11" t="s">
        <v>26</v>
      </c>
      <c r="C42" s="24">
        <f>SUM(C43:C45)</f>
        <v>0</v>
      </c>
      <c r="D42" s="6">
        <f>IF($C$48="ERRO","ERRO",IF($C$48=0,0,C42/$C$48))</f>
        <v>0</v>
      </c>
      <c r="E42" s="24">
        <f>SUM(E43:E45)</f>
        <v>0</v>
      </c>
      <c r="F42" s="6">
        <f>IF($E$48="ERRO","ERRO",IF($E$48=0,0,E42/$E$48))</f>
        <v>0</v>
      </c>
      <c r="G42" s="24">
        <f>SUM(G43:G45)</f>
        <v>0</v>
      </c>
      <c r="H42" s="6">
        <f>IF($G$48="ERRO","ERRO",IF($G$48=0,0,G42/$G$48))</f>
        <v>0</v>
      </c>
      <c r="I42" s="24">
        <f>SUM(I43:I45)</f>
        <v>0</v>
      </c>
      <c r="J42" s="7">
        <f>IF($I$48="ERRO","ERRO",IF($I$48=0,0,I42/$I$48))</f>
        <v>0</v>
      </c>
    </row>
    <row r="43" spans="2:10" ht="15.75" x14ac:dyDescent="0.25">
      <c r="B43" s="8" t="s">
        <v>27</v>
      </c>
      <c r="C43" s="56"/>
      <c r="D43" s="6">
        <f>IF($C$48="ERRO","ERRO",IF($C$48=0,0,C43/$C$48))</f>
        <v>0</v>
      </c>
      <c r="E43" s="56"/>
      <c r="F43" s="6">
        <f>IF($E$48="ERRO","ERRO",IF($E$48=0,0,E43/$E$48))</f>
        <v>0</v>
      </c>
      <c r="G43" s="56"/>
      <c r="H43" s="6">
        <f>IF($G$48="ERRO","ERRO",IF($G$48=0,0,G43/$G$48))</f>
        <v>0</v>
      </c>
      <c r="I43" s="56"/>
      <c r="J43" s="7">
        <f>IF($I$48="ERRO","ERRO",IF($I$48=0,0,I43/$I$48))</f>
        <v>0</v>
      </c>
    </row>
    <row r="44" spans="2:10" ht="15.75" x14ac:dyDescent="0.25">
      <c r="B44" s="8" t="s">
        <v>28</v>
      </c>
      <c r="C44" s="56"/>
      <c r="D44" s="6">
        <f>IF($C$48="ERRO","ERRO",IF($C$48=0,0,C44/$C$48))</f>
        <v>0</v>
      </c>
      <c r="E44" s="56"/>
      <c r="F44" s="6">
        <f>IF($E$48="ERRO","ERRO",IF($E$48=0,0,E44/$E$48))</f>
        <v>0</v>
      </c>
      <c r="G44" s="56"/>
      <c r="H44" s="6">
        <f>IF($G$48="ERRO","ERRO",IF($G$48=0,0,G44/$G$48))</f>
        <v>0</v>
      </c>
      <c r="I44" s="56"/>
      <c r="J44" s="7">
        <f>IF($I$48="ERRO","ERRO",IF($I$48=0,0,I44/$I$48))</f>
        <v>0</v>
      </c>
    </row>
    <row r="45" spans="2:10" ht="15.75" x14ac:dyDescent="0.25">
      <c r="B45" s="12" t="s">
        <v>29</v>
      </c>
      <c r="C45" s="56"/>
      <c r="D45" s="6">
        <f>IF($C$48="ERRO","ERRO",IF($C$48=0,0,C45/$C$48))</f>
        <v>0</v>
      </c>
      <c r="E45" s="56"/>
      <c r="F45" s="6">
        <f>IF($E$48="ERRO","ERRO",IF($E$48=0,0,E45/$E$48))</f>
        <v>0</v>
      </c>
      <c r="G45" s="56"/>
      <c r="H45" s="6">
        <f>IF($G$48="ERRO","ERRO",IF($G$48=0,0,G45/$G$48))</f>
        <v>0</v>
      </c>
      <c r="I45" s="56"/>
      <c r="J45" s="7">
        <f>IF($I$48="ERRO","ERRO",IF($I$48=0,0,I45/$I$48))</f>
        <v>0</v>
      </c>
    </row>
    <row r="46" spans="2:10" ht="15.75" thickBot="1" x14ac:dyDescent="0.3">
      <c r="B46" s="2"/>
      <c r="D46" s="6"/>
      <c r="F46" s="6"/>
      <c r="H46" s="6"/>
      <c r="J46" s="7"/>
    </row>
    <row r="47" spans="2:10" ht="16.5" thickBot="1" x14ac:dyDescent="0.3">
      <c r="B47" s="28" t="s">
        <v>30</v>
      </c>
      <c r="C47" s="29">
        <f>IF(OR(C11+C29+C42-C51-C79-C97-C99-C101&gt;1,C11+C29+C42-C51-C79-C97-C99-C101&lt;-1),"ERRO",C11+C29+C42)</f>
        <v>0</v>
      </c>
      <c r="D47" s="30">
        <f>IF($C$48="ERRO","ERRO",IF($C$48=0,0,C47/$C$48))</f>
        <v>0</v>
      </c>
      <c r="E47" s="29">
        <f>IF(OR(E11+E29+E42-E51-E79-E97-E99-E101&gt;1,E11+E29+E42-E51-E79-E97-E99-E101&lt;-1),"ERRO",E11+E29+E42)</f>
        <v>0</v>
      </c>
      <c r="F47" s="30">
        <f>IF($E$48="ERRO","ERRO",IF($E$48=0,0,E47/$E$48))</f>
        <v>0</v>
      </c>
      <c r="G47" s="29">
        <f>IF(OR(G11+G29+G42-G51-G79-G97-G99-G101&gt;1,G11+G29+G42-G51-G79-G97-G99-G101&lt;-1),"ERRO",G11+G29+G42)</f>
        <v>0</v>
      </c>
      <c r="H47" s="30">
        <f>IF($G$48="ERRO","ERRO",IF($G$48=0,0,G47/$G$48))</f>
        <v>0</v>
      </c>
      <c r="I47" s="29">
        <f>IF(OR(I11+I29+I42-I51-I79-I97-I99-I101&gt;1,I11+I29+I42-I51-I79-I97-I99-I101&lt;-1),"ERRO",I11+I29+I42)</f>
        <v>0</v>
      </c>
      <c r="J47" s="31">
        <f>IF($I$48="ERRO","ERRO",IF($I$48=0,0,I47/$I$48))</f>
        <v>0</v>
      </c>
    </row>
    <row r="48" spans="2:10" x14ac:dyDescent="0.25">
      <c r="B48" s="23"/>
      <c r="C48" s="24"/>
      <c r="D48" s="24"/>
      <c r="E48" s="24"/>
      <c r="F48" s="24"/>
      <c r="G48" s="24"/>
      <c r="H48" s="24"/>
      <c r="I48" s="24"/>
      <c r="J48" s="25"/>
    </row>
    <row r="49" spans="2:10" ht="15.75" x14ac:dyDescent="0.25">
      <c r="B49" s="11" t="s">
        <v>31</v>
      </c>
      <c r="C49" s="26" t="s">
        <v>6</v>
      </c>
      <c r="D49" s="26" t="s">
        <v>93</v>
      </c>
      <c r="E49" s="26" t="s">
        <v>6</v>
      </c>
      <c r="F49" s="26" t="s">
        <v>93</v>
      </c>
      <c r="G49" s="26" t="s">
        <v>6</v>
      </c>
      <c r="H49" s="26" t="s">
        <v>93</v>
      </c>
      <c r="I49" s="26" t="s">
        <v>6</v>
      </c>
      <c r="J49" s="27" t="s">
        <v>93</v>
      </c>
    </row>
    <row r="50" spans="2:10" x14ac:dyDescent="0.25">
      <c r="B50" s="2"/>
      <c r="J50" s="3"/>
    </row>
    <row r="51" spans="2:10" ht="15.75" x14ac:dyDescent="0.25">
      <c r="B51" s="10" t="s">
        <v>7</v>
      </c>
      <c r="C51" s="24">
        <f>SUM(C52:C77)</f>
        <v>0</v>
      </c>
      <c r="D51" s="6">
        <f>IF($C$48="ERRO","ERRO",IF($C$48=0,0,C51/$C$48))</f>
        <v>0</v>
      </c>
      <c r="E51" s="24">
        <f>SUM(E52:E77)</f>
        <v>0</v>
      </c>
      <c r="F51" s="6">
        <f t="shared" ref="F51:F77" si="8">IF($E$48="ERRO","ERRO",IF($E$48=0,0,E51/$E$48))</f>
        <v>0</v>
      </c>
      <c r="G51" s="24">
        <f>SUM(G52:G77)</f>
        <v>0</v>
      </c>
      <c r="H51" s="6">
        <f t="shared" ref="H51:H77" si="9">IF($G$48="ERRO","ERRO",IF($G$48=0,0,G51/$G$48))</f>
        <v>0</v>
      </c>
      <c r="I51" s="24">
        <f>SUM(I52:I77)</f>
        <v>0</v>
      </c>
      <c r="J51" s="7">
        <f t="shared" ref="J51:J104" si="10">IF($I$48="ERRO","ERRO",IF($I$48=0,0,I51/$I$48))</f>
        <v>0</v>
      </c>
    </row>
    <row r="52" spans="2:10" ht="15.75" x14ac:dyDescent="0.25">
      <c r="B52" s="9" t="s">
        <v>32</v>
      </c>
      <c r="C52" s="56"/>
      <c r="D52" s="6">
        <f t="shared" ref="D52:D104" si="11">IF($C$48="ERRO","ERRO",IF($C$48=0,0,C52/$C$48))</f>
        <v>0</v>
      </c>
      <c r="E52" s="56"/>
      <c r="F52" s="6">
        <f t="shared" si="8"/>
        <v>0</v>
      </c>
      <c r="G52" s="56"/>
      <c r="H52" s="6">
        <f t="shared" si="9"/>
        <v>0</v>
      </c>
      <c r="I52" s="56"/>
      <c r="J52" s="7">
        <f t="shared" si="10"/>
        <v>0</v>
      </c>
    </row>
    <row r="53" spans="2:10" ht="15.75" x14ac:dyDescent="0.25">
      <c r="B53" s="9" t="s">
        <v>33</v>
      </c>
      <c r="C53" s="56"/>
      <c r="D53" s="6">
        <f t="shared" si="11"/>
        <v>0</v>
      </c>
      <c r="E53" s="56"/>
      <c r="F53" s="6">
        <f t="shared" si="8"/>
        <v>0</v>
      </c>
      <c r="G53" s="56"/>
      <c r="H53" s="6">
        <f t="shared" si="9"/>
        <v>0</v>
      </c>
      <c r="I53" s="56"/>
      <c r="J53" s="7">
        <f t="shared" si="10"/>
        <v>0</v>
      </c>
    </row>
    <row r="54" spans="2:10" ht="15.75" x14ac:dyDescent="0.25">
      <c r="B54" s="9" t="s">
        <v>34</v>
      </c>
      <c r="C54" s="56"/>
      <c r="D54" s="6">
        <f t="shared" si="11"/>
        <v>0</v>
      </c>
      <c r="E54" s="56"/>
      <c r="F54" s="6">
        <f t="shared" si="8"/>
        <v>0</v>
      </c>
      <c r="G54" s="56"/>
      <c r="H54" s="6">
        <f t="shared" si="9"/>
        <v>0</v>
      </c>
      <c r="I54" s="56"/>
      <c r="J54" s="7">
        <f t="shared" si="10"/>
        <v>0</v>
      </c>
    </row>
    <row r="55" spans="2:10" ht="15.75" x14ac:dyDescent="0.25">
      <c r="B55" s="8" t="s">
        <v>35</v>
      </c>
      <c r="C55" s="56"/>
      <c r="D55" s="6">
        <f t="shared" si="11"/>
        <v>0</v>
      </c>
      <c r="E55" s="56"/>
      <c r="F55" s="6">
        <f t="shared" si="8"/>
        <v>0</v>
      </c>
      <c r="G55" s="56"/>
      <c r="H55" s="6">
        <f t="shared" si="9"/>
        <v>0</v>
      </c>
      <c r="I55" s="56"/>
      <c r="J55" s="7">
        <f t="shared" si="10"/>
        <v>0</v>
      </c>
    </row>
    <row r="56" spans="2:10" ht="15.75" x14ac:dyDescent="0.25">
      <c r="B56" s="8" t="s">
        <v>36</v>
      </c>
      <c r="C56" s="56"/>
      <c r="D56" s="6">
        <f t="shared" si="11"/>
        <v>0</v>
      </c>
      <c r="E56" s="56"/>
      <c r="F56" s="6">
        <f t="shared" si="8"/>
        <v>0</v>
      </c>
      <c r="G56" s="56"/>
      <c r="H56" s="6">
        <f t="shared" si="9"/>
        <v>0</v>
      </c>
      <c r="I56" s="56"/>
      <c r="J56" s="7">
        <f t="shared" si="10"/>
        <v>0</v>
      </c>
    </row>
    <row r="57" spans="2:10" ht="15.75" x14ac:dyDescent="0.25">
      <c r="B57" s="8" t="s">
        <v>37</v>
      </c>
      <c r="C57" s="56"/>
      <c r="D57" s="6">
        <f t="shared" si="11"/>
        <v>0</v>
      </c>
      <c r="E57" s="56"/>
      <c r="F57" s="6">
        <f t="shared" si="8"/>
        <v>0</v>
      </c>
      <c r="G57" s="56"/>
      <c r="H57" s="6">
        <f t="shared" si="9"/>
        <v>0</v>
      </c>
      <c r="I57" s="56"/>
      <c r="J57" s="7">
        <f t="shared" si="10"/>
        <v>0</v>
      </c>
    </row>
    <row r="58" spans="2:10" ht="15.75" x14ac:dyDescent="0.25">
      <c r="B58" s="8" t="s">
        <v>38</v>
      </c>
      <c r="C58" s="56"/>
      <c r="D58" s="6">
        <f t="shared" si="11"/>
        <v>0</v>
      </c>
      <c r="E58" s="56"/>
      <c r="F58" s="6">
        <f t="shared" si="8"/>
        <v>0</v>
      </c>
      <c r="G58" s="56"/>
      <c r="H58" s="6">
        <f t="shared" si="9"/>
        <v>0</v>
      </c>
      <c r="I58" s="56"/>
      <c r="J58" s="7">
        <f t="shared" si="10"/>
        <v>0</v>
      </c>
    </row>
    <row r="59" spans="2:10" ht="15.75" x14ac:dyDescent="0.25">
      <c r="B59" s="8" t="s">
        <v>39</v>
      </c>
      <c r="C59" s="56"/>
      <c r="D59" s="6">
        <f t="shared" si="11"/>
        <v>0</v>
      </c>
      <c r="E59" s="56"/>
      <c r="F59" s="6">
        <f t="shared" si="8"/>
        <v>0</v>
      </c>
      <c r="G59" s="56"/>
      <c r="H59" s="6">
        <f t="shared" si="9"/>
        <v>0</v>
      </c>
      <c r="I59" s="56"/>
      <c r="J59" s="7">
        <f t="shared" si="10"/>
        <v>0</v>
      </c>
    </row>
    <row r="60" spans="2:10" ht="15.75" x14ac:dyDescent="0.25">
      <c r="B60" s="8" t="s">
        <v>40</v>
      </c>
      <c r="C60" s="56"/>
      <c r="D60" s="6">
        <f t="shared" si="11"/>
        <v>0</v>
      </c>
      <c r="E60" s="56"/>
      <c r="F60" s="6">
        <f t="shared" si="8"/>
        <v>0</v>
      </c>
      <c r="G60" s="56"/>
      <c r="H60" s="6">
        <f t="shared" si="9"/>
        <v>0</v>
      </c>
      <c r="I60" s="56"/>
      <c r="J60" s="7">
        <f t="shared" si="10"/>
        <v>0</v>
      </c>
    </row>
    <row r="61" spans="2:10" ht="15.75" x14ac:dyDescent="0.25">
      <c r="B61" s="8" t="s">
        <v>41</v>
      </c>
      <c r="C61" s="56"/>
      <c r="D61" s="6">
        <f t="shared" si="11"/>
        <v>0</v>
      </c>
      <c r="E61" s="56"/>
      <c r="F61" s="6">
        <f t="shared" si="8"/>
        <v>0</v>
      </c>
      <c r="G61" s="56"/>
      <c r="H61" s="6">
        <f t="shared" si="9"/>
        <v>0</v>
      </c>
      <c r="I61" s="56"/>
      <c r="J61" s="7">
        <f t="shared" si="10"/>
        <v>0</v>
      </c>
    </row>
    <row r="62" spans="2:10" ht="15.75" x14ac:dyDescent="0.25">
      <c r="B62" s="8" t="s">
        <v>42</v>
      </c>
      <c r="C62" s="56"/>
      <c r="D62" s="6">
        <f t="shared" si="11"/>
        <v>0</v>
      </c>
      <c r="E62" s="56"/>
      <c r="F62" s="6">
        <f t="shared" si="8"/>
        <v>0</v>
      </c>
      <c r="G62" s="56"/>
      <c r="H62" s="6">
        <f t="shared" si="9"/>
        <v>0</v>
      </c>
      <c r="I62" s="56"/>
      <c r="J62" s="7">
        <f t="shared" si="10"/>
        <v>0</v>
      </c>
    </row>
    <row r="63" spans="2:10" ht="15.75" x14ac:dyDescent="0.25">
      <c r="B63" s="8" t="s">
        <v>43</v>
      </c>
      <c r="C63" s="56"/>
      <c r="D63" s="6">
        <f t="shared" si="11"/>
        <v>0</v>
      </c>
      <c r="E63" s="56"/>
      <c r="F63" s="6">
        <f t="shared" si="8"/>
        <v>0</v>
      </c>
      <c r="G63" s="56"/>
      <c r="H63" s="6">
        <f t="shared" si="9"/>
        <v>0</v>
      </c>
      <c r="I63" s="56"/>
      <c r="J63" s="7">
        <f t="shared" si="10"/>
        <v>0</v>
      </c>
    </row>
    <row r="64" spans="2:10" ht="15.75" x14ac:dyDescent="0.25">
      <c r="B64" s="8" t="s">
        <v>44</v>
      </c>
      <c r="C64" s="56"/>
      <c r="D64" s="6">
        <f t="shared" si="11"/>
        <v>0</v>
      </c>
      <c r="E64" s="56"/>
      <c r="F64" s="6">
        <f t="shared" si="8"/>
        <v>0</v>
      </c>
      <c r="G64" s="56"/>
      <c r="H64" s="6">
        <f t="shared" si="9"/>
        <v>0</v>
      </c>
      <c r="I64" s="56"/>
      <c r="J64" s="7">
        <f t="shared" si="10"/>
        <v>0</v>
      </c>
    </row>
    <row r="65" spans="2:10" ht="15.75" x14ac:dyDescent="0.25">
      <c r="B65" s="8" t="s">
        <v>45</v>
      </c>
      <c r="C65" s="56"/>
      <c r="D65" s="6">
        <f t="shared" si="11"/>
        <v>0</v>
      </c>
      <c r="E65" s="56"/>
      <c r="F65" s="6">
        <f t="shared" si="8"/>
        <v>0</v>
      </c>
      <c r="G65" s="56"/>
      <c r="H65" s="6">
        <f t="shared" si="9"/>
        <v>0</v>
      </c>
      <c r="I65" s="56"/>
      <c r="J65" s="7">
        <f t="shared" si="10"/>
        <v>0</v>
      </c>
    </row>
    <row r="66" spans="2:10" ht="15.75" x14ac:dyDescent="0.25">
      <c r="B66" s="8" t="s">
        <v>46</v>
      </c>
      <c r="C66" s="56"/>
      <c r="D66" s="6">
        <f t="shared" si="11"/>
        <v>0</v>
      </c>
      <c r="E66" s="56"/>
      <c r="F66" s="6">
        <f t="shared" si="8"/>
        <v>0</v>
      </c>
      <c r="G66" s="56"/>
      <c r="H66" s="6">
        <f t="shared" si="9"/>
        <v>0</v>
      </c>
      <c r="I66" s="56"/>
      <c r="J66" s="7">
        <f t="shared" si="10"/>
        <v>0</v>
      </c>
    </row>
    <row r="67" spans="2:10" ht="15.75" x14ac:dyDescent="0.25">
      <c r="B67" s="8" t="s">
        <v>47</v>
      </c>
      <c r="C67" s="56"/>
      <c r="D67" s="6">
        <f t="shared" si="11"/>
        <v>0</v>
      </c>
      <c r="E67" s="56"/>
      <c r="F67" s="6">
        <f t="shared" si="8"/>
        <v>0</v>
      </c>
      <c r="G67" s="56"/>
      <c r="H67" s="6">
        <f t="shared" si="9"/>
        <v>0</v>
      </c>
      <c r="I67" s="56"/>
      <c r="J67" s="7">
        <f t="shared" si="10"/>
        <v>0</v>
      </c>
    </row>
    <row r="68" spans="2:10" ht="15.75" x14ac:dyDescent="0.25">
      <c r="B68" s="8" t="s">
        <v>48</v>
      </c>
      <c r="C68" s="56"/>
      <c r="D68" s="6">
        <f t="shared" si="11"/>
        <v>0</v>
      </c>
      <c r="E68" s="56"/>
      <c r="F68" s="6">
        <f t="shared" si="8"/>
        <v>0</v>
      </c>
      <c r="G68" s="56"/>
      <c r="H68" s="6">
        <f t="shared" si="9"/>
        <v>0</v>
      </c>
      <c r="I68" s="56"/>
      <c r="J68" s="7">
        <f t="shared" si="10"/>
        <v>0</v>
      </c>
    </row>
    <row r="69" spans="2:10" ht="15.75" x14ac:dyDescent="0.25">
      <c r="B69" s="8" t="s">
        <v>49</v>
      </c>
      <c r="C69" s="56"/>
      <c r="D69" s="6">
        <f t="shared" si="11"/>
        <v>0</v>
      </c>
      <c r="E69" s="56"/>
      <c r="F69" s="6">
        <f t="shared" si="8"/>
        <v>0</v>
      </c>
      <c r="G69" s="56"/>
      <c r="H69" s="6">
        <f t="shared" si="9"/>
        <v>0</v>
      </c>
      <c r="I69" s="56"/>
      <c r="J69" s="7">
        <f t="shared" si="10"/>
        <v>0</v>
      </c>
    </row>
    <row r="70" spans="2:10" ht="15.75" x14ac:dyDescent="0.25">
      <c r="B70" s="9" t="s">
        <v>50</v>
      </c>
      <c r="C70" s="56"/>
      <c r="D70" s="6">
        <f t="shared" si="11"/>
        <v>0</v>
      </c>
      <c r="E70" s="56"/>
      <c r="F70" s="6">
        <f t="shared" si="8"/>
        <v>0</v>
      </c>
      <c r="G70" s="56"/>
      <c r="H70" s="6">
        <f t="shared" si="9"/>
        <v>0</v>
      </c>
      <c r="I70" s="56"/>
      <c r="J70" s="7">
        <f t="shared" si="10"/>
        <v>0</v>
      </c>
    </row>
    <row r="71" spans="2:10" ht="15.75" x14ac:dyDescent="0.25">
      <c r="B71" s="9" t="s">
        <v>51</v>
      </c>
      <c r="C71" s="56"/>
      <c r="D71" s="6">
        <f t="shared" si="11"/>
        <v>0</v>
      </c>
      <c r="E71" s="56"/>
      <c r="F71" s="6">
        <f t="shared" si="8"/>
        <v>0</v>
      </c>
      <c r="G71" s="56"/>
      <c r="H71" s="6">
        <f t="shared" si="9"/>
        <v>0</v>
      </c>
      <c r="I71" s="56"/>
      <c r="J71" s="7">
        <f t="shared" si="10"/>
        <v>0</v>
      </c>
    </row>
    <row r="72" spans="2:10" ht="15.75" x14ac:dyDescent="0.25">
      <c r="B72" s="9" t="s">
        <v>52</v>
      </c>
      <c r="C72" s="56"/>
      <c r="D72" s="6">
        <f t="shared" si="11"/>
        <v>0</v>
      </c>
      <c r="E72" s="56"/>
      <c r="F72" s="6">
        <f t="shared" si="8"/>
        <v>0</v>
      </c>
      <c r="G72" s="56"/>
      <c r="H72" s="6">
        <f t="shared" si="9"/>
        <v>0</v>
      </c>
      <c r="I72" s="56"/>
      <c r="J72" s="7">
        <f t="shared" si="10"/>
        <v>0</v>
      </c>
    </row>
    <row r="73" spans="2:10" ht="15.75" x14ac:dyDescent="0.25">
      <c r="B73" s="9" t="s">
        <v>23</v>
      </c>
      <c r="C73" s="56"/>
      <c r="D73" s="6">
        <f t="shared" si="11"/>
        <v>0</v>
      </c>
      <c r="E73" s="56"/>
      <c r="F73" s="6">
        <f t="shared" si="8"/>
        <v>0</v>
      </c>
      <c r="G73" s="56"/>
      <c r="H73" s="6">
        <f t="shared" si="9"/>
        <v>0</v>
      </c>
      <c r="I73" s="56"/>
      <c r="J73" s="7">
        <f t="shared" si="10"/>
        <v>0</v>
      </c>
    </row>
    <row r="74" spans="2:10" ht="15.75" x14ac:dyDescent="0.25">
      <c r="B74" s="9" t="s">
        <v>20</v>
      </c>
      <c r="C74" s="56"/>
      <c r="D74" s="6">
        <f t="shared" si="11"/>
        <v>0</v>
      </c>
      <c r="E74" s="56"/>
      <c r="F74" s="6">
        <f t="shared" si="8"/>
        <v>0</v>
      </c>
      <c r="G74" s="56"/>
      <c r="H74" s="6">
        <f t="shared" si="9"/>
        <v>0</v>
      </c>
      <c r="I74" s="56"/>
      <c r="J74" s="7">
        <f t="shared" si="10"/>
        <v>0</v>
      </c>
    </row>
    <row r="75" spans="2:10" ht="15.75" x14ac:dyDescent="0.25">
      <c r="B75" s="9" t="s">
        <v>20</v>
      </c>
      <c r="C75" s="56"/>
      <c r="D75" s="6">
        <f t="shared" si="11"/>
        <v>0</v>
      </c>
      <c r="E75" s="56"/>
      <c r="F75" s="6">
        <f t="shared" si="8"/>
        <v>0</v>
      </c>
      <c r="G75" s="56"/>
      <c r="H75" s="6">
        <f t="shared" si="9"/>
        <v>0</v>
      </c>
      <c r="I75" s="56"/>
      <c r="J75" s="7">
        <f t="shared" si="10"/>
        <v>0</v>
      </c>
    </row>
    <row r="76" spans="2:10" ht="15.75" x14ac:dyDescent="0.25">
      <c r="B76" s="9" t="s">
        <v>21</v>
      </c>
      <c r="C76" s="56"/>
      <c r="D76" s="6">
        <f t="shared" si="11"/>
        <v>0</v>
      </c>
      <c r="E76" s="56"/>
      <c r="F76" s="6">
        <f t="shared" si="8"/>
        <v>0</v>
      </c>
      <c r="G76" s="56"/>
      <c r="H76" s="6">
        <f t="shared" si="9"/>
        <v>0</v>
      </c>
      <c r="I76" s="56"/>
      <c r="J76" s="7">
        <f t="shared" si="10"/>
        <v>0</v>
      </c>
    </row>
    <row r="77" spans="2:10" ht="15.75" x14ac:dyDescent="0.25">
      <c r="B77" s="9" t="s">
        <v>21</v>
      </c>
      <c r="C77" s="56"/>
      <c r="D77" s="6">
        <f t="shared" si="11"/>
        <v>0</v>
      </c>
      <c r="E77" s="56"/>
      <c r="F77" s="6">
        <f t="shared" si="8"/>
        <v>0</v>
      </c>
      <c r="G77" s="56"/>
      <c r="H77" s="6">
        <f t="shared" si="9"/>
        <v>0</v>
      </c>
      <c r="I77" s="56"/>
      <c r="J77" s="7">
        <f t="shared" si="10"/>
        <v>0</v>
      </c>
    </row>
    <row r="78" spans="2:10" ht="15.75" x14ac:dyDescent="0.25">
      <c r="B78" s="8"/>
      <c r="J78" s="3"/>
    </row>
    <row r="79" spans="2:10" ht="15.75" x14ac:dyDescent="0.25">
      <c r="B79" s="10" t="s">
        <v>53</v>
      </c>
      <c r="C79" s="24">
        <f>SUM(C80:C95)</f>
        <v>0</v>
      </c>
      <c r="D79" s="6">
        <f t="shared" si="11"/>
        <v>0</v>
      </c>
      <c r="E79" s="24">
        <f>SUM(E80:E95)</f>
        <v>0</v>
      </c>
      <c r="F79" s="6">
        <f t="shared" ref="F79:F95" si="12">IF($E$48="ERRO","ERRO",IF($E$48=0,0,E79/$E$48))</f>
        <v>0</v>
      </c>
      <c r="G79" s="24">
        <f>SUM(G80:G95)</f>
        <v>0</v>
      </c>
      <c r="H79" s="6">
        <f t="shared" ref="H79:H95" si="13">IF($G$48="ERRO","ERRO",IF($G$48=0,0,G79/$G$48))</f>
        <v>0</v>
      </c>
      <c r="I79" s="24">
        <f>SUM(I80:I95)</f>
        <v>0</v>
      </c>
      <c r="J79" s="7">
        <f t="shared" si="10"/>
        <v>0</v>
      </c>
    </row>
    <row r="80" spans="2:10" ht="15.75" x14ac:dyDescent="0.25">
      <c r="B80" s="9" t="s">
        <v>54</v>
      </c>
      <c r="C80" s="56"/>
      <c r="D80" s="6">
        <f t="shared" si="11"/>
        <v>0</v>
      </c>
      <c r="E80" s="56"/>
      <c r="F80" s="6">
        <f t="shared" si="12"/>
        <v>0</v>
      </c>
      <c r="G80" s="56"/>
      <c r="H80" s="6">
        <f t="shared" si="13"/>
        <v>0</v>
      </c>
      <c r="I80" s="56"/>
      <c r="J80" s="7">
        <f t="shared" si="10"/>
        <v>0</v>
      </c>
    </row>
    <row r="81" spans="2:10" ht="15.75" x14ac:dyDescent="0.25">
      <c r="B81" s="9" t="s">
        <v>38</v>
      </c>
      <c r="C81" s="56"/>
      <c r="D81" s="6">
        <f t="shared" si="11"/>
        <v>0</v>
      </c>
      <c r="E81" s="56"/>
      <c r="F81" s="6">
        <f t="shared" si="12"/>
        <v>0</v>
      </c>
      <c r="G81" s="56"/>
      <c r="H81" s="6">
        <f t="shared" si="13"/>
        <v>0</v>
      </c>
      <c r="I81" s="56"/>
      <c r="J81" s="7">
        <f t="shared" si="10"/>
        <v>0</v>
      </c>
    </row>
    <row r="82" spans="2:10" ht="15.75" x14ac:dyDescent="0.25">
      <c r="B82" s="9" t="s">
        <v>41</v>
      </c>
      <c r="C82" s="56"/>
      <c r="D82" s="6">
        <f t="shared" si="11"/>
        <v>0</v>
      </c>
      <c r="E82" s="56"/>
      <c r="F82" s="6">
        <f t="shared" si="12"/>
        <v>0</v>
      </c>
      <c r="G82" s="56"/>
      <c r="H82" s="6">
        <f t="shared" si="13"/>
        <v>0</v>
      </c>
      <c r="I82" s="56"/>
      <c r="J82" s="7">
        <f t="shared" si="10"/>
        <v>0</v>
      </c>
    </row>
    <row r="83" spans="2:10" ht="15.75" x14ac:dyDescent="0.25">
      <c r="B83" s="8" t="s">
        <v>36</v>
      </c>
      <c r="C83" s="56"/>
      <c r="D83" s="6">
        <f t="shared" si="11"/>
        <v>0</v>
      </c>
      <c r="E83" s="56"/>
      <c r="F83" s="6">
        <f t="shared" si="12"/>
        <v>0</v>
      </c>
      <c r="G83" s="56"/>
      <c r="H83" s="6">
        <f t="shared" si="13"/>
        <v>0</v>
      </c>
      <c r="I83" s="56"/>
      <c r="J83" s="7">
        <f t="shared" si="10"/>
        <v>0</v>
      </c>
    </row>
    <row r="84" spans="2:10" ht="15.75" x14ac:dyDescent="0.25">
      <c r="B84" s="8" t="s">
        <v>40</v>
      </c>
      <c r="C84" s="56"/>
      <c r="D84" s="6">
        <f t="shared" si="11"/>
        <v>0</v>
      </c>
      <c r="E84" s="56"/>
      <c r="F84" s="6">
        <f t="shared" si="12"/>
        <v>0</v>
      </c>
      <c r="G84" s="56"/>
      <c r="H84" s="6">
        <f t="shared" si="13"/>
        <v>0</v>
      </c>
      <c r="I84" s="56"/>
      <c r="J84" s="7">
        <f t="shared" si="10"/>
        <v>0</v>
      </c>
    </row>
    <row r="85" spans="2:10" ht="15.75" x14ac:dyDescent="0.25">
      <c r="B85" s="8" t="s">
        <v>46</v>
      </c>
      <c r="C85" s="56"/>
      <c r="D85" s="6">
        <f t="shared" si="11"/>
        <v>0</v>
      </c>
      <c r="E85" s="56"/>
      <c r="F85" s="6">
        <f t="shared" si="12"/>
        <v>0</v>
      </c>
      <c r="G85" s="56"/>
      <c r="H85" s="6">
        <f t="shared" si="13"/>
        <v>0</v>
      </c>
      <c r="I85" s="56"/>
      <c r="J85" s="7">
        <f t="shared" si="10"/>
        <v>0</v>
      </c>
    </row>
    <row r="86" spans="2:10" ht="15.75" x14ac:dyDescent="0.25">
      <c r="B86" s="8" t="s">
        <v>47</v>
      </c>
      <c r="C86" s="56"/>
      <c r="D86" s="6">
        <f t="shared" si="11"/>
        <v>0</v>
      </c>
      <c r="E86" s="56"/>
      <c r="F86" s="6">
        <f t="shared" si="12"/>
        <v>0</v>
      </c>
      <c r="G86" s="56"/>
      <c r="H86" s="6">
        <f t="shared" si="13"/>
        <v>0</v>
      </c>
      <c r="I86" s="56"/>
      <c r="J86" s="7">
        <f t="shared" si="10"/>
        <v>0</v>
      </c>
    </row>
    <row r="87" spans="2:10" ht="15.75" x14ac:dyDescent="0.25">
      <c r="B87" s="8" t="s">
        <v>48</v>
      </c>
      <c r="C87" s="56"/>
      <c r="D87" s="6">
        <f t="shared" si="11"/>
        <v>0</v>
      </c>
      <c r="E87" s="56"/>
      <c r="F87" s="6">
        <f t="shared" si="12"/>
        <v>0</v>
      </c>
      <c r="G87" s="56"/>
      <c r="H87" s="6">
        <f t="shared" si="13"/>
        <v>0</v>
      </c>
      <c r="I87" s="56"/>
      <c r="J87" s="7">
        <f t="shared" si="10"/>
        <v>0</v>
      </c>
    </row>
    <row r="88" spans="2:10" ht="15.75" x14ac:dyDescent="0.25">
      <c r="B88" s="8" t="s">
        <v>49</v>
      </c>
      <c r="C88" s="56"/>
      <c r="D88" s="6">
        <f t="shared" si="11"/>
        <v>0</v>
      </c>
      <c r="E88" s="56"/>
      <c r="F88" s="6">
        <f t="shared" si="12"/>
        <v>0</v>
      </c>
      <c r="G88" s="56"/>
      <c r="H88" s="6">
        <f t="shared" si="13"/>
        <v>0</v>
      </c>
      <c r="I88" s="56"/>
      <c r="J88" s="7">
        <f t="shared" si="10"/>
        <v>0</v>
      </c>
    </row>
    <row r="89" spans="2:10" ht="15.75" x14ac:dyDescent="0.25">
      <c r="B89" s="9" t="s">
        <v>50</v>
      </c>
      <c r="C89" s="56"/>
      <c r="D89" s="6">
        <f t="shared" si="11"/>
        <v>0</v>
      </c>
      <c r="E89" s="56"/>
      <c r="F89" s="6">
        <f t="shared" si="12"/>
        <v>0</v>
      </c>
      <c r="G89" s="56"/>
      <c r="H89" s="6">
        <f t="shared" si="13"/>
        <v>0</v>
      </c>
      <c r="I89" s="56"/>
      <c r="J89" s="7">
        <f t="shared" si="10"/>
        <v>0</v>
      </c>
    </row>
    <row r="90" spans="2:10" ht="15.75" x14ac:dyDescent="0.25">
      <c r="B90" s="9" t="s">
        <v>51</v>
      </c>
      <c r="C90" s="56"/>
      <c r="D90" s="6">
        <f t="shared" si="11"/>
        <v>0</v>
      </c>
      <c r="E90" s="56"/>
      <c r="F90" s="6">
        <f t="shared" si="12"/>
        <v>0</v>
      </c>
      <c r="G90" s="56"/>
      <c r="H90" s="6">
        <f t="shared" si="13"/>
        <v>0</v>
      </c>
      <c r="I90" s="56"/>
      <c r="J90" s="7">
        <f t="shared" si="10"/>
        <v>0</v>
      </c>
    </row>
    <row r="91" spans="2:10" ht="15.75" x14ac:dyDescent="0.25">
      <c r="B91" s="9" t="s">
        <v>52</v>
      </c>
      <c r="C91" s="56"/>
      <c r="D91" s="6">
        <f t="shared" si="11"/>
        <v>0</v>
      </c>
      <c r="E91" s="56"/>
      <c r="F91" s="6">
        <f t="shared" si="12"/>
        <v>0</v>
      </c>
      <c r="G91" s="56"/>
      <c r="H91" s="6">
        <f t="shared" si="13"/>
        <v>0</v>
      </c>
      <c r="I91" s="56"/>
      <c r="J91" s="7">
        <f t="shared" si="10"/>
        <v>0</v>
      </c>
    </row>
    <row r="92" spans="2:10" ht="15.75" x14ac:dyDescent="0.25">
      <c r="B92" s="8" t="s">
        <v>44</v>
      </c>
      <c r="C92" s="56"/>
      <c r="D92" s="6">
        <f t="shared" si="11"/>
        <v>0</v>
      </c>
      <c r="E92" s="56"/>
      <c r="F92" s="6">
        <f t="shared" si="12"/>
        <v>0</v>
      </c>
      <c r="G92" s="56"/>
      <c r="H92" s="6">
        <f t="shared" si="13"/>
        <v>0</v>
      </c>
      <c r="I92" s="56"/>
      <c r="J92" s="7">
        <f t="shared" si="10"/>
        <v>0</v>
      </c>
    </row>
    <row r="93" spans="2:10" ht="15.75" x14ac:dyDescent="0.25">
      <c r="B93" s="9" t="s">
        <v>23</v>
      </c>
      <c r="C93" s="56"/>
      <c r="D93" s="6">
        <f t="shared" si="11"/>
        <v>0</v>
      </c>
      <c r="E93" s="56"/>
      <c r="F93" s="6">
        <f t="shared" si="12"/>
        <v>0</v>
      </c>
      <c r="G93" s="56"/>
      <c r="H93" s="6">
        <f t="shared" si="13"/>
        <v>0</v>
      </c>
      <c r="I93" s="56"/>
      <c r="J93" s="7">
        <f t="shared" si="10"/>
        <v>0</v>
      </c>
    </row>
    <row r="94" spans="2:10" ht="15.75" x14ac:dyDescent="0.25">
      <c r="B94" s="9" t="s">
        <v>20</v>
      </c>
      <c r="C94" s="56"/>
      <c r="D94" s="6">
        <f t="shared" si="11"/>
        <v>0</v>
      </c>
      <c r="E94" s="56"/>
      <c r="F94" s="6">
        <f t="shared" si="12"/>
        <v>0</v>
      </c>
      <c r="G94" s="56"/>
      <c r="H94" s="6">
        <f t="shared" si="13"/>
        <v>0</v>
      </c>
      <c r="I94" s="56"/>
      <c r="J94" s="7">
        <f t="shared" si="10"/>
        <v>0</v>
      </c>
    </row>
    <row r="95" spans="2:10" ht="15.75" x14ac:dyDescent="0.25">
      <c r="B95" s="9" t="s">
        <v>21</v>
      </c>
      <c r="C95" s="56"/>
      <c r="D95" s="6">
        <f t="shared" si="11"/>
        <v>0</v>
      </c>
      <c r="E95" s="56"/>
      <c r="F95" s="6">
        <f t="shared" si="12"/>
        <v>0</v>
      </c>
      <c r="G95" s="56"/>
      <c r="H95" s="6">
        <f t="shared" si="13"/>
        <v>0</v>
      </c>
      <c r="I95" s="56"/>
      <c r="J95" s="7">
        <f t="shared" si="10"/>
        <v>0</v>
      </c>
    </row>
    <row r="96" spans="2:10" ht="15.75" x14ac:dyDescent="0.25">
      <c r="B96" s="8"/>
      <c r="J96" s="3"/>
    </row>
    <row r="97" spans="2:10" ht="15.75" x14ac:dyDescent="0.25">
      <c r="B97" s="11" t="s">
        <v>55</v>
      </c>
      <c r="C97" s="24">
        <v>0</v>
      </c>
      <c r="D97" s="6">
        <f t="shared" si="11"/>
        <v>0</v>
      </c>
      <c r="E97" s="24">
        <v>0</v>
      </c>
      <c r="F97" s="6">
        <f>IF($E$48="ERRO","ERRO",IF($E$48=0,0,E97/$E$48))</f>
        <v>0</v>
      </c>
      <c r="G97" s="24">
        <v>0</v>
      </c>
      <c r="H97" s="6">
        <f>IF($G$48="ERRO","ERRO",IF($G$48=0,0,G97/$G$48))</f>
        <v>0</v>
      </c>
      <c r="I97" s="24">
        <v>0</v>
      </c>
      <c r="J97" s="7">
        <f t="shared" si="10"/>
        <v>0</v>
      </c>
    </row>
    <row r="98" spans="2:10" ht="15.75" x14ac:dyDescent="0.25">
      <c r="B98" s="13"/>
      <c r="J98" s="3"/>
    </row>
    <row r="99" spans="2:10" ht="15.75" x14ac:dyDescent="0.25">
      <c r="B99" s="11" t="s">
        <v>56</v>
      </c>
      <c r="C99" s="24">
        <v>0</v>
      </c>
      <c r="D99" s="6">
        <f t="shared" si="11"/>
        <v>0</v>
      </c>
      <c r="E99" s="24">
        <v>0</v>
      </c>
      <c r="F99" s="6">
        <f>IF($E$48="ERRO","ERRO",IF($E$48=0,0,E99/$E$48))</f>
        <v>0</v>
      </c>
      <c r="G99" s="24">
        <v>0</v>
      </c>
      <c r="H99" s="6">
        <f>IF($G$48="ERRO","ERRO",IF($G$48=0,0,G99/$G$48))</f>
        <v>0</v>
      </c>
      <c r="I99" s="24">
        <v>0</v>
      </c>
      <c r="J99" s="7">
        <f t="shared" si="10"/>
        <v>0</v>
      </c>
    </row>
    <row r="100" spans="2:10" ht="15.75" x14ac:dyDescent="0.25">
      <c r="B100" s="13"/>
      <c r="J100" s="3"/>
    </row>
    <row r="101" spans="2:10" ht="15.75" x14ac:dyDescent="0.25">
      <c r="B101" s="10" t="s">
        <v>57</v>
      </c>
      <c r="C101" s="57"/>
      <c r="D101" s="6">
        <f t="shared" si="11"/>
        <v>0</v>
      </c>
      <c r="E101" s="57"/>
      <c r="F101" s="6">
        <f t="shared" ref="F101:F104" si="14">IF($E$48="ERRO","ERRO",IF($E$48=0,0,E101/$E$48))</f>
        <v>0</v>
      </c>
      <c r="G101" s="57"/>
      <c r="H101" s="6">
        <f t="shared" ref="H101:H104" si="15">IF($G$48="ERRO","ERRO",IF($G$48=0,0,G101/$G$48))</f>
        <v>0</v>
      </c>
      <c r="I101" s="57"/>
      <c r="J101" s="7">
        <f t="shared" si="10"/>
        <v>0</v>
      </c>
    </row>
    <row r="102" spans="2:10" ht="15.75" x14ac:dyDescent="0.25">
      <c r="B102" s="9" t="s">
        <v>58</v>
      </c>
      <c r="C102">
        <f>C101-C103-C104</f>
        <v>0</v>
      </c>
      <c r="D102" s="6">
        <f t="shared" si="11"/>
        <v>0</v>
      </c>
      <c r="E102">
        <f>E101-E103-E104</f>
        <v>0</v>
      </c>
      <c r="F102" s="6">
        <f t="shared" si="14"/>
        <v>0</v>
      </c>
      <c r="G102">
        <f>G101-G103-G104</f>
        <v>0</v>
      </c>
      <c r="H102" s="6">
        <f t="shared" si="15"/>
        <v>0</v>
      </c>
      <c r="I102">
        <f>I101-I103-I104</f>
        <v>0</v>
      </c>
      <c r="J102" s="7">
        <f t="shared" si="10"/>
        <v>0</v>
      </c>
    </row>
    <row r="103" spans="2:10" ht="15.75" x14ac:dyDescent="0.25">
      <c r="B103" s="8" t="s">
        <v>59</v>
      </c>
      <c r="D103" s="6">
        <f t="shared" si="11"/>
        <v>0</v>
      </c>
      <c r="F103" s="6">
        <f t="shared" si="14"/>
        <v>0</v>
      </c>
      <c r="H103" s="6">
        <f t="shared" si="15"/>
        <v>0</v>
      </c>
      <c r="J103" s="7">
        <f t="shared" si="10"/>
        <v>0</v>
      </c>
    </row>
    <row r="104" spans="2:10" ht="16.5" thickBot="1" x14ac:dyDescent="0.3">
      <c r="B104" s="14" t="s">
        <v>60</v>
      </c>
      <c r="C104" s="15">
        <f>C139</f>
        <v>0</v>
      </c>
      <c r="D104" s="16">
        <f t="shared" si="11"/>
        <v>0</v>
      </c>
      <c r="E104" s="15">
        <f>E139</f>
        <v>0</v>
      </c>
      <c r="F104" s="16">
        <f t="shared" si="14"/>
        <v>0</v>
      </c>
      <c r="G104" s="15">
        <f>G139</f>
        <v>0</v>
      </c>
      <c r="H104" s="16">
        <f t="shared" si="15"/>
        <v>0</v>
      </c>
      <c r="I104" s="15">
        <f>I139</f>
        <v>0</v>
      </c>
      <c r="J104" s="17">
        <f t="shared" si="10"/>
        <v>0</v>
      </c>
    </row>
    <row r="105" spans="2:10" ht="15.75" thickBot="1" x14ac:dyDescent="0.3"/>
    <row r="106" spans="2:10" ht="21.75" thickBot="1" x14ac:dyDescent="0.4">
      <c r="B106" s="61" t="s">
        <v>61</v>
      </c>
      <c r="C106" s="62"/>
      <c r="D106" s="62"/>
      <c r="E106" s="62"/>
      <c r="F106" s="62"/>
      <c r="G106" s="62"/>
      <c r="H106" s="62"/>
      <c r="I106" s="62"/>
      <c r="J106" s="63"/>
    </row>
    <row r="107" spans="2:10" x14ac:dyDescent="0.25">
      <c r="B107" s="23"/>
      <c r="C107" s="24" t="s">
        <v>62</v>
      </c>
      <c r="D107" s="24"/>
      <c r="E107" s="24" t="s">
        <v>64</v>
      </c>
      <c r="F107" s="24"/>
      <c r="G107" s="24" t="s">
        <v>65</v>
      </c>
      <c r="H107" s="24"/>
      <c r="I107" s="24" t="s">
        <v>66</v>
      </c>
      <c r="J107" s="25"/>
    </row>
    <row r="108" spans="2:10" x14ac:dyDescent="0.25">
      <c r="B108" s="23" t="s">
        <v>63</v>
      </c>
      <c r="C108" s="26">
        <v>12</v>
      </c>
      <c r="D108" s="26"/>
      <c r="E108" s="26">
        <v>12</v>
      </c>
      <c r="F108" s="26"/>
      <c r="G108" s="26">
        <v>12</v>
      </c>
      <c r="H108" s="26"/>
      <c r="I108" s="26">
        <v>12</v>
      </c>
      <c r="J108" s="27"/>
    </row>
    <row r="109" spans="2:10" x14ac:dyDescent="0.25">
      <c r="B109" s="23"/>
      <c r="C109" s="26" t="s">
        <v>67</v>
      </c>
      <c r="D109" s="26" t="s">
        <v>93</v>
      </c>
      <c r="E109" s="26" t="s">
        <v>67</v>
      </c>
      <c r="F109" s="26" t="s">
        <v>93</v>
      </c>
      <c r="G109" s="26" t="s">
        <v>67</v>
      </c>
      <c r="H109" s="26" t="s">
        <v>93</v>
      </c>
      <c r="I109" s="26" t="s">
        <v>67</v>
      </c>
      <c r="J109" s="27" t="s">
        <v>93</v>
      </c>
    </row>
    <row r="110" spans="2:10" x14ac:dyDescent="0.25">
      <c r="B110" s="2"/>
      <c r="C110" s="4"/>
      <c r="D110" s="4"/>
      <c r="E110" s="4"/>
      <c r="F110" s="4"/>
      <c r="G110" s="4"/>
      <c r="H110" s="4"/>
      <c r="I110" s="4"/>
      <c r="J110" s="5"/>
    </row>
    <row r="111" spans="2:10" ht="15.75" x14ac:dyDescent="0.25">
      <c r="B111" s="11" t="s">
        <v>68</v>
      </c>
      <c r="C111" s="58"/>
      <c r="D111">
        <f>IF($C$114=0,0,C111/$C$114)</f>
        <v>0</v>
      </c>
      <c r="E111" s="58"/>
      <c r="F111">
        <f>IF($E$114=0,0,E111/$E$114)</f>
        <v>0</v>
      </c>
      <c r="G111" s="58"/>
      <c r="H111">
        <f>IF($G$114=0,0,G111/$G$114)</f>
        <v>0</v>
      </c>
      <c r="I111" s="58"/>
      <c r="J111" s="3">
        <f>IF($I$114=0,0,I111/$I$114)</f>
        <v>0</v>
      </c>
    </row>
    <row r="112" spans="2:10" ht="15.75" x14ac:dyDescent="0.25">
      <c r="B112" s="8" t="s">
        <v>69</v>
      </c>
      <c r="C112" s="56"/>
      <c r="D112">
        <f t="shared" ref="D112:D139" si="16">IF($C$114=0,0,C112/$C$114)</f>
        <v>0</v>
      </c>
      <c r="E112" s="56"/>
      <c r="F112">
        <f t="shared" ref="F112:F139" si="17">IF($E$114=0,0,E112/$E$114)</f>
        <v>0</v>
      </c>
      <c r="G112" s="56"/>
      <c r="H112">
        <f t="shared" ref="H112:H139" si="18">IF($G$114=0,0,G112/$G$114)</f>
        <v>0</v>
      </c>
      <c r="I112" s="56"/>
      <c r="J112" s="3">
        <f t="shared" ref="J112:J139" si="19">IF($I$114=0,0,I112/$I$114)</f>
        <v>0</v>
      </c>
    </row>
    <row r="113" spans="2:10" ht="15.75" x14ac:dyDescent="0.25">
      <c r="B113" s="11" t="s">
        <v>70</v>
      </c>
      <c r="C113" s="18">
        <f>C111-C112</f>
        <v>0</v>
      </c>
      <c r="D113">
        <f t="shared" si="16"/>
        <v>0</v>
      </c>
      <c r="E113" s="18">
        <f>E111-E112</f>
        <v>0</v>
      </c>
      <c r="F113">
        <f t="shared" si="17"/>
        <v>0</v>
      </c>
      <c r="G113" s="18">
        <f>G111-G112</f>
        <v>0</v>
      </c>
      <c r="H113">
        <f t="shared" si="18"/>
        <v>0</v>
      </c>
      <c r="I113" s="18">
        <f>I111-I112</f>
        <v>0</v>
      </c>
      <c r="J113" s="3">
        <f t="shared" si="19"/>
        <v>0</v>
      </c>
    </row>
    <row r="114" spans="2:10" ht="15.75" x14ac:dyDescent="0.25">
      <c r="B114" s="8" t="s">
        <v>71</v>
      </c>
      <c r="C114">
        <f>SUM(C115:C118)</f>
        <v>0</v>
      </c>
      <c r="D114">
        <f t="shared" si="16"/>
        <v>0</v>
      </c>
      <c r="E114">
        <f>SUM(E115:E118)</f>
        <v>0</v>
      </c>
      <c r="F114">
        <f t="shared" si="17"/>
        <v>0</v>
      </c>
      <c r="G114">
        <f>SUM(G115:G118)</f>
        <v>0</v>
      </c>
      <c r="H114">
        <f t="shared" si="18"/>
        <v>0</v>
      </c>
      <c r="I114">
        <f>SUM(I115:I118)</f>
        <v>0</v>
      </c>
      <c r="J114" s="3">
        <f t="shared" si="19"/>
        <v>0</v>
      </c>
    </row>
    <row r="115" spans="2:10" ht="15.75" x14ac:dyDescent="0.25">
      <c r="B115" s="19" t="s">
        <v>94</v>
      </c>
      <c r="C115" s="56"/>
      <c r="D115">
        <f t="shared" si="16"/>
        <v>0</v>
      </c>
      <c r="E115" s="56"/>
      <c r="F115">
        <f t="shared" si="17"/>
        <v>0</v>
      </c>
      <c r="G115" s="56"/>
      <c r="H115">
        <f t="shared" si="18"/>
        <v>0</v>
      </c>
      <c r="I115" s="56"/>
      <c r="J115" s="3">
        <f t="shared" si="19"/>
        <v>0</v>
      </c>
    </row>
    <row r="116" spans="2:10" ht="15.75" x14ac:dyDescent="0.25">
      <c r="B116" s="19" t="s">
        <v>95</v>
      </c>
      <c r="C116" s="56"/>
      <c r="D116">
        <f t="shared" si="16"/>
        <v>0</v>
      </c>
      <c r="E116" s="56"/>
      <c r="F116">
        <f t="shared" si="17"/>
        <v>0</v>
      </c>
      <c r="G116" s="56"/>
      <c r="H116">
        <f t="shared" si="18"/>
        <v>0</v>
      </c>
      <c r="I116" s="56"/>
      <c r="J116" s="3">
        <f t="shared" si="19"/>
        <v>0</v>
      </c>
    </row>
    <row r="117" spans="2:10" ht="15.75" x14ac:dyDescent="0.25">
      <c r="B117" s="19" t="s">
        <v>96</v>
      </c>
      <c r="C117" s="56"/>
      <c r="D117">
        <f t="shared" si="16"/>
        <v>0</v>
      </c>
      <c r="E117" s="56"/>
      <c r="F117">
        <f t="shared" si="17"/>
        <v>0</v>
      </c>
      <c r="G117" s="56"/>
      <c r="H117">
        <f t="shared" si="18"/>
        <v>0</v>
      </c>
      <c r="I117" s="56"/>
      <c r="J117" s="3">
        <f t="shared" si="19"/>
        <v>0</v>
      </c>
    </row>
    <row r="118" spans="2:10" ht="15.75" x14ac:dyDescent="0.25">
      <c r="B118" s="19" t="s">
        <v>97</v>
      </c>
      <c r="C118" s="56"/>
      <c r="D118">
        <f t="shared" si="16"/>
        <v>0</v>
      </c>
      <c r="E118" s="56"/>
      <c r="F118">
        <f t="shared" si="17"/>
        <v>0</v>
      </c>
      <c r="G118" s="56"/>
      <c r="H118">
        <f t="shared" si="18"/>
        <v>0</v>
      </c>
      <c r="I118" s="56"/>
      <c r="J118" s="3">
        <f t="shared" si="19"/>
        <v>0</v>
      </c>
    </row>
    <row r="119" spans="2:10" ht="15.75" x14ac:dyDescent="0.25">
      <c r="B119" s="11" t="s">
        <v>72</v>
      </c>
      <c r="C119" s="18">
        <f>C113-C114</f>
        <v>0</v>
      </c>
      <c r="D119">
        <f t="shared" si="16"/>
        <v>0</v>
      </c>
      <c r="E119" s="18">
        <f>E113-E114</f>
        <v>0</v>
      </c>
      <c r="F119">
        <f t="shared" si="17"/>
        <v>0</v>
      </c>
      <c r="G119" s="18">
        <f>G113-G114</f>
        <v>0</v>
      </c>
      <c r="H119">
        <f t="shared" si="18"/>
        <v>0</v>
      </c>
      <c r="I119" s="18">
        <f>I113-I114</f>
        <v>0</v>
      </c>
      <c r="J119" s="3">
        <f t="shared" si="19"/>
        <v>0</v>
      </c>
    </row>
    <row r="120" spans="2:10" ht="15.75" x14ac:dyDescent="0.25">
      <c r="B120" s="8" t="s">
        <v>73</v>
      </c>
      <c r="C120">
        <f>SUM(C121:C123)</f>
        <v>0</v>
      </c>
      <c r="D120">
        <f t="shared" si="16"/>
        <v>0</v>
      </c>
      <c r="E120">
        <f>SUM(E121:E123)</f>
        <v>0</v>
      </c>
      <c r="F120">
        <f t="shared" si="17"/>
        <v>0</v>
      </c>
      <c r="G120">
        <f>SUM(G121:G123)</f>
        <v>0</v>
      </c>
      <c r="H120">
        <f t="shared" si="18"/>
        <v>0</v>
      </c>
      <c r="I120">
        <f>SUM(I121:I123)</f>
        <v>0</v>
      </c>
      <c r="J120" s="3">
        <f t="shared" si="19"/>
        <v>0</v>
      </c>
    </row>
    <row r="121" spans="2:10" ht="15.75" x14ac:dyDescent="0.25">
      <c r="B121" s="19" t="s">
        <v>74</v>
      </c>
      <c r="C121" s="56"/>
      <c r="D121">
        <f t="shared" si="16"/>
        <v>0</v>
      </c>
      <c r="E121" s="56"/>
      <c r="F121">
        <f t="shared" si="17"/>
        <v>0</v>
      </c>
      <c r="G121" s="56"/>
      <c r="H121">
        <f t="shared" si="18"/>
        <v>0</v>
      </c>
      <c r="I121" s="56"/>
      <c r="J121" s="3">
        <f t="shared" si="19"/>
        <v>0</v>
      </c>
    </row>
    <row r="122" spans="2:10" ht="15.75" x14ac:dyDescent="0.25">
      <c r="B122" s="19" t="s">
        <v>75</v>
      </c>
      <c r="C122" s="56"/>
      <c r="D122">
        <f t="shared" si="16"/>
        <v>0</v>
      </c>
      <c r="E122" s="56"/>
      <c r="F122">
        <f t="shared" si="17"/>
        <v>0</v>
      </c>
      <c r="G122" s="56"/>
      <c r="H122">
        <f t="shared" si="18"/>
        <v>0</v>
      </c>
      <c r="I122" s="56"/>
      <c r="J122" s="3">
        <f t="shared" si="19"/>
        <v>0</v>
      </c>
    </row>
    <row r="123" spans="2:10" ht="15.75" x14ac:dyDescent="0.25">
      <c r="B123" s="19" t="s">
        <v>76</v>
      </c>
      <c r="C123" s="56"/>
      <c r="D123">
        <f t="shared" si="16"/>
        <v>0</v>
      </c>
      <c r="E123" s="56"/>
      <c r="F123">
        <f t="shared" si="17"/>
        <v>0</v>
      </c>
      <c r="G123" s="56"/>
      <c r="H123">
        <f t="shared" si="18"/>
        <v>0</v>
      </c>
      <c r="I123" s="56"/>
      <c r="J123" s="3">
        <f t="shared" si="19"/>
        <v>0</v>
      </c>
    </row>
    <row r="124" spans="2:10" ht="15.75" x14ac:dyDescent="0.25">
      <c r="B124" s="11" t="s">
        <v>77</v>
      </c>
      <c r="C124" s="18">
        <f>C119-C120</f>
        <v>0</v>
      </c>
      <c r="D124">
        <f t="shared" si="16"/>
        <v>0</v>
      </c>
      <c r="E124" s="18">
        <f>E119-E120</f>
        <v>0</v>
      </c>
      <c r="F124">
        <f t="shared" si="17"/>
        <v>0</v>
      </c>
      <c r="G124" s="18">
        <f>G119-G120</f>
        <v>0</v>
      </c>
      <c r="H124">
        <f t="shared" si="18"/>
        <v>0</v>
      </c>
      <c r="I124" s="18">
        <f>I119-I120</f>
        <v>0</v>
      </c>
      <c r="J124" s="3">
        <f t="shared" si="19"/>
        <v>0</v>
      </c>
    </row>
    <row r="125" spans="2:10" ht="15.75" x14ac:dyDescent="0.25">
      <c r="B125" s="8" t="s">
        <v>78</v>
      </c>
      <c r="C125">
        <f>SUM(C126:C127)</f>
        <v>0</v>
      </c>
      <c r="D125">
        <f t="shared" si="16"/>
        <v>0</v>
      </c>
      <c r="E125">
        <f>SUM(E126:E127)</f>
        <v>0</v>
      </c>
      <c r="F125">
        <f t="shared" si="17"/>
        <v>0</v>
      </c>
      <c r="G125">
        <f>SUM(G126:G127)</f>
        <v>0</v>
      </c>
      <c r="H125">
        <f t="shared" si="18"/>
        <v>0</v>
      </c>
      <c r="I125">
        <f>SUM(I126:I127)</f>
        <v>0</v>
      </c>
      <c r="J125" s="3">
        <f t="shared" si="19"/>
        <v>0</v>
      </c>
    </row>
    <row r="126" spans="2:10" ht="15.75" x14ac:dyDescent="0.25">
      <c r="B126" s="19" t="s">
        <v>79</v>
      </c>
      <c r="C126" s="56"/>
      <c r="D126">
        <f t="shared" si="16"/>
        <v>0</v>
      </c>
      <c r="E126" s="56"/>
      <c r="F126">
        <f t="shared" si="17"/>
        <v>0</v>
      </c>
      <c r="G126" s="56"/>
      <c r="H126">
        <f t="shared" si="18"/>
        <v>0</v>
      </c>
      <c r="I126" s="56"/>
      <c r="J126" s="3">
        <f t="shared" si="19"/>
        <v>0</v>
      </c>
    </row>
    <row r="127" spans="2:10" ht="15.75" x14ac:dyDescent="0.25">
      <c r="B127" s="19" t="s">
        <v>80</v>
      </c>
      <c r="C127" s="56"/>
      <c r="D127">
        <f t="shared" si="16"/>
        <v>0</v>
      </c>
      <c r="E127" s="56"/>
      <c r="F127">
        <f t="shared" si="17"/>
        <v>0</v>
      </c>
      <c r="G127" s="56"/>
      <c r="H127">
        <f t="shared" si="18"/>
        <v>0</v>
      </c>
      <c r="I127" s="56"/>
      <c r="J127" s="3">
        <f t="shared" si="19"/>
        <v>0</v>
      </c>
    </row>
    <row r="128" spans="2:10" ht="15.75" x14ac:dyDescent="0.25">
      <c r="B128" s="8" t="s">
        <v>81</v>
      </c>
      <c r="C128" s="56"/>
      <c r="D128">
        <f t="shared" si="16"/>
        <v>0</v>
      </c>
      <c r="E128" s="56"/>
      <c r="F128">
        <f t="shared" si="17"/>
        <v>0</v>
      </c>
      <c r="G128" s="56"/>
      <c r="H128">
        <f t="shared" si="18"/>
        <v>0</v>
      </c>
      <c r="I128" s="56"/>
      <c r="J128" s="3">
        <f t="shared" si="19"/>
        <v>0</v>
      </c>
    </row>
    <row r="129" spans="2:10" ht="15.75" x14ac:dyDescent="0.25">
      <c r="B129" s="8" t="s">
        <v>82</v>
      </c>
      <c r="C129" s="56"/>
      <c r="D129">
        <f t="shared" si="16"/>
        <v>0</v>
      </c>
      <c r="E129" s="56"/>
      <c r="F129">
        <f t="shared" si="17"/>
        <v>0</v>
      </c>
      <c r="G129" s="56"/>
      <c r="H129">
        <f t="shared" si="18"/>
        <v>0</v>
      </c>
      <c r="I129" s="56"/>
      <c r="J129" s="3">
        <f t="shared" si="19"/>
        <v>0</v>
      </c>
    </row>
    <row r="130" spans="2:10" ht="15.75" x14ac:dyDescent="0.25">
      <c r="B130" s="11" t="s">
        <v>83</v>
      </c>
      <c r="C130" s="18">
        <f>C124-C125+C128+C129</f>
        <v>0</v>
      </c>
      <c r="D130">
        <f t="shared" si="16"/>
        <v>0</v>
      </c>
      <c r="E130" s="18">
        <f>E124-E125+E128+E129</f>
        <v>0</v>
      </c>
      <c r="F130">
        <f t="shared" si="17"/>
        <v>0</v>
      </c>
      <c r="G130" s="18">
        <f>G124-G125+G128+G129</f>
        <v>0</v>
      </c>
      <c r="H130">
        <f t="shared" si="18"/>
        <v>0</v>
      </c>
      <c r="I130" s="18">
        <f>I124-I125+I128+I129</f>
        <v>0</v>
      </c>
      <c r="J130" s="3">
        <f t="shared" si="19"/>
        <v>0</v>
      </c>
    </row>
    <row r="131" spans="2:10" ht="15.75" x14ac:dyDescent="0.25">
      <c r="B131" s="8" t="s">
        <v>84</v>
      </c>
      <c r="C131" s="56"/>
      <c r="D131">
        <f t="shared" si="16"/>
        <v>0</v>
      </c>
      <c r="E131" s="56"/>
      <c r="F131">
        <f t="shared" si="17"/>
        <v>0</v>
      </c>
      <c r="G131" s="56"/>
      <c r="H131">
        <f t="shared" si="18"/>
        <v>0</v>
      </c>
      <c r="I131" s="56"/>
      <c r="J131" s="3">
        <f t="shared" si="19"/>
        <v>0</v>
      </c>
    </row>
    <row r="132" spans="2:10" ht="15.75" x14ac:dyDescent="0.25">
      <c r="B132" s="8" t="s">
        <v>85</v>
      </c>
      <c r="C132" s="56"/>
      <c r="D132">
        <f t="shared" si="16"/>
        <v>0</v>
      </c>
      <c r="E132" s="56"/>
      <c r="F132">
        <f t="shared" si="17"/>
        <v>0</v>
      </c>
      <c r="G132" s="56"/>
      <c r="H132">
        <f t="shared" si="18"/>
        <v>0</v>
      </c>
      <c r="I132" s="56"/>
      <c r="J132" s="3">
        <f t="shared" si="19"/>
        <v>0</v>
      </c>
    </row>
    <row r="133" spans="2:10" ht="15.75" x14ac:dyDescent="0.25">
      <c r="B133" s="8" t="s">
        <v>86</v>
      </c>
      <c r="C133" s="56"/>
      <c r="D133">
        <f t="shared" si="16"/>
        <v>0</v>
      </c>
      <c r="E133" s="56"/>
      <c r="F133">
        <f t="shared" si="17"/>
        <v>0</v>
      </c>
      <c r="G133" s="56"/>
      <c r="H133">
        <f t="shared" si="18"/>
        <v>0</v>
      </c>
      <c r="I133" s="56"/>
      <c r="J133" s="3">
        <f t="shared" si="19"/>
        <v>0</v>
      </c>
    </row>
    <row r="134" spans="2:10" ht="15.75" x14ac:dyDescent="0.25">
      <c r="B134" s="8" t="s">
        <v>87</v>
      </c>
      <c r="C134" s="56"/>
      <c r="D134">
        <f t="shared" si="16"/>
        <v>0</v>
      </c>
      <c r="E134" s="56"/>
      <c r="F134">
        <f t="shared" si="17"/>
        <v>0</v>
      </c>
      <c r="G134" s="56"/>
      <c r="H134">
        <f t="shared" si="18"/>
        <v>0</v>
      </c>
      <c r="I134" s="56"/>
      <c r="J134" s="3">
        <f t="shared" si="19"/>
        <v>0</v>
      </c>
    </row>
    <row r="135" spans="2:10" ht="15.75" x14ac:dyDescent="0.25">
      <c r="B135" s="11" t="s">
        <v>88</v>
      </c>
      <c r="C135" s="18">
        <f>C130-SUM(C131:C134)</f>
        <v>0</v>
      </c>
      <c r="D135">
        <f t="shared" si="16"/>
        <v>0</v>
      </c>
      <c r="E135" s="18">
        <f>E130-SUM(E131:E134)</f>
        <v>0</v>
      </c>
      <c r="F135">
        <f t="shared" si="17"/>
        <v>0</v>
      </c>
      <c r="G135" s="18">
        <f>G130-SUM(G131:G134)</f>
        <v>0</v>
      </c>
      <c r="H135">
        <f t="shared" si="18"/>
        <v>0</v>
      </c>
      <c r="I135" s="18">
        <f>I130-SUM(I131:I134)</f>
        <v>0</v>
      </c>
      <c r="J135" s="3">
        <f t="shared" si="19"/>
        <v>0</v>
      </c>
    </row>
    <row r="136" spans="2:10" ht="15.75" x14ac:dyDescent="0.25">
      <c r="B136" s="8" t="s">
        <v>89</v>
      </c>
      <c r="C136" s="56"/>
      <c r="D136">
        <f t="shared" si="16"/>
        <v>0</v>
      </c>
      <c r="E136" s="56"/>
      <c r="F136">
        <f t="shared" si="17"/>
        <v>0</v>
      </c>
      <c r="G136" s="56"/>
      <c r="H136">
        <f t="shared" si="18"/>
        <v>0</v>
      </c>
      <c r="I136" s="56"/>
      <c r="J136" s="3">
        <f t="shared" si="19"/>
        <v>0</v>
      </c>
    </row>
    <row r="137" spans="2:10" ht="15.75" x14ac:dyDescent="0.25">
      <c r="B137" s="11" t="s">
        <v>90</v>
      </c>
      <c r="C137" s="18">
        <f>C135+C136</f>
        <v>0</v>
      </c>
      <c r="D137">
        <f t="shared" si="16"/>
        <v>0</v>
      </c>
      <c r="E137" s="18">
        <f>E135+E136</f>
        <v>0</v>
      </c>
      <c r="F137">
        <f t="shared" si="17"/>
        <v>0</v>
      </c>
      <c r="G137" s="18">
        <f>G135+G136</f>
        <v>0</v>
      </c>
      <c r="H137">
        <f t="shared" si="18"/>
        <v>0</v>
      </c>
      <c r="I137" s="18">
        <f>I135+I136</f>
        <v>0</v>
      </c>
      <c r="J137" s="3">
        <f t="shared" si="19"/>
        <v>0</v>
      </c>
    </row>
    <row r="138" spans="2:10" ht="15.75" x14ac:dyDescent="0.25">
      <c r="B138" s="8" t="s">
        <v>91</v>
      </c>
      <c r="C138" s="56"/>
      <c r="D138">
        <f t="shared" si="16"/>
        <v>0</v>
      </c>
      <c r="E138" s="56"/>
      <c r="F138">
        <f t="shared" si="17"/>
        <v>0</v>
      </c>
      <c r="G138" s="56"/>
      <c r="H138">
        <f t="shared" si="18"/>
        <v>0</v>
      </c>
      <c r="I138" s="56"/>
      <c r="J138" s="3">
        <f t="shared" si="19"/>
        <v>0</v>
      </c>
    </row>
    <row r="139" spans="2:10" ht="16.5" thickBot="1" x14ac:dyDescent="0.3">
      <c r="B139" s="20" t="s">
        <v>92</v>
      </c>
      <c r="C139" s="21">
        <f>C137+C138</f>
        <v>0</v>
      </c>
      <c r="D139" s="15">
        <f t="shared" si="16"/>
        <v>0</v>
      </c>
      <c r="E139" s="21">
        <f>E137+E138</f>
        <v>0</v>
      </c>
      <c r="F139" s="15">
        <f t="shared" si="17"/>
        <v>0</v>
      </c>
      <c r="G139" s="21">
        <f>G137+G138</f>
        <v>0</v>
      </c>
      <c r="H139" s="15">
        <f t="shared" si="18"/>
        <v>0</v>
      </c>
      <c r="I139" s="21">
        <f>I137+I138</f>
        <v>0</v>
      </c>
      <c r="J139" s="22">
        <f t="shared" si="19"/>
        <v>0</v>
      </c>
    </row>
    <row r="142" spans="2:10" ht="15.75" thickBot="1" x14ac:dyDescent="0.3"/>
    <row r="143" spans="2:10" ht="15.75" thickBot="1" x14ac:dyDescent="0.3">
      <c r="B143" s="64" t="s">
        <v>98</v>
      </c>
      <c r="C143" s="65"/>
      <c r="D143" s="65"/>
      <c r="E143" s="65"/>
      <c r="F143" s="65"/>
      <c r="G143" s="65"/>
      <c r="H143" s="65"/>
      <c r="I143" s="65"/>
      <c r="J143" s="66"/>
    </row>
    <row r="144" spans="2:10" x14ac:dyDescent="0.25">
      <c r="B144" s="33"/>
      <c r="J144" s="34"/>
    </row>
    <row r="145" spans="2:10" x14ac:dyDescent="0.25">
      <c r="B145" s="45" t="s">
        <v>99</v>
      </c>
      <c r="C145" s="46">
        <f>C148-C149</f>
        <v>0</v>
      </c>
      <c r="D145" s="46"/>
      <c r="E145" s="46">
        <f>E148-E149</f>
        <v>0</v>
      </c>
      <c r="F145" s="46"/>
      <c r="G145" s="46">
        <f>G148-G149</f>
        <v>0</v>
      </c>
      <c r="H145" s="46"/>
      <c r="I145" s="46">
        <f>I148-I149</f>
        <v>0</v>
      </c>
      <c r="J145" s="47"/>
    </row>
    <row r="146" spans="2:10" x14ac:dyDescent="0.25">
      <c r="B146" s="35" t="s">
        <v>100</v>
      </c>
      <c r="C146">
        <f>C54</f>
        <v>0</v>
      </c>
      <c r="E146">
        <f>E54</f>
        <v>0</v>
      </c>
      <c r="G146">
        <f>G54</f>
        <v>0</v>
      </c>
      <c r="I146">
        <f>I54</f>
        <v>0</v>
      </c>
      <c r="J146" s="34"/>
    </row>
    <row r="147" spans="2:10" x14ac:dyDescent="0.25">
      <c r="B147" s="35" t="s">
        <v>101</v>
      </c>
      <c r="C147">
        <f>C80</f>
        <v>0</v>
      </c>
      <c r="E147">
        <f>E80</f>
        <v>0</v>
      </c>
      <c r="G147">
        <f>G80</f>
        <v>0</v>
      </c>
      <c r="I147">
        <f>I80</f>
        <v>0</v>
      </c>
      <c r="J147" s="34"/>
    </row>
    <row r="148" spans="2:10" x14ac:dyDescent="0.25">
      <c r="B148" s="35" t="s">
        <v>102</v>
      </c>
      <c r="C148">
        <f>SUM(C146:C147)</f>
        <v>0</v>
      </c>
      <c r="E148">
        <f>SUM(E146:E147)</f>
        <v>0</v>
      </c>
      <c r="G148">
        <f>SUM(G146:G147)</f>
        <v>0</v>
      </c>
      <c r="I148">
        <f>SUM(I146:I147)</f>
        <v>0</v>
      </c>
      <c r="J148" s="34"/>
    </row>
    <row r="149" spans="2:10" x14ac:dyDescent="0.25">
      <c r="B149" s="45" t="s">
        <v>104</v>
      </c>
      <c r="C149" s="46">
        <f>SUM(C12:C13)</f>
        <v>0</v>
      </c>
      <c r="D149" s="46"/>
      <c r="E149" s="46">
        <f>SUM(E12:E13)</f>
        <v>0</v>
      </c>
      <c r="F149" s="46"/>
      <c r="G149" s="46">
        <f>SUM(G12:G13)</f>
        <v>0</v>
      </c>
      <c r="H149" s="46"/>
      <c r="I149" s="46">
        <f>SUM(I12:I13)</f>
        <v>0</v>
      </c>
      <c r="J149" s="47"/>
    </row>
    <row r="150" spans="2:10" x14ac:dyDescent="0.25">
      <c r="B150" s="35" t="s">
        <v>105</v>
      </c>
      <c r="C150">
        <f>C11-C51</f>
        <v>0</v>
      </c>
      <c r="E150">
        <f>E11-E51</f>
        <v>0</v>
      </c>
      <c r="G150">
        <f>G11-G51</f>
        <v>0</v>
      </c>
      <c r="I150">
        <f>I11-I51</f>
        <v>0</v>
      </c>
      <c r="J150" s="34"/>
    </row>
    <row r="151" spans="2:10" x14ac:dyDescent="0.25">
      <c r="B151" s="35" t="s">
        <v>106</v>
      </c>
      <c r="C151">
        <f>SUM(C101+C99)-C42</f>
        <v>0</v>
      </c>
      <c r="E151">
        <f>SUM(E101+E99)-E42</f>
        <v>0</v>
      </c>
      <c r="G151">
        <f>SUM(G101+G99)-G42</f>
        <v>0</v>
      </c>
      <c r="I151">
        <f>SUM(I101+I99)-I42</f>
        <v>0</v>
      </c>
      <c r="J151" s="34"/>
    </row>
    <row r="152" spans="2:10" ht="15.75" thickBot="1" x14ac:dyDescent="0.3">
      <c r="B152" s="33"/>
      <c r="J152" s="34"/>
    </row>
    <row r="153" spans="2:10" ht="15.75" thickBot="1" x14ac:dyDescent="0.3">
      <c r="B153" s="64" t="s">
        <v>107</v>
      </c>
      <c r="C153" s="65"/>
      <c r="D153" s="65"/>
      <c r="E153" s="65"/>
      <c r="F153" s="65"/>
      <c r="G153" s="65"/>
      <c r="H153" s="65"/>
      <c r="I153" s="65"/>
      <c r="J153" s="66"/>
    </row>
    <row r="154" spans="2:10" x14ac:dyDescent="0.25">
      <c r="B154" s="33"/>
      <c r="J154" s="34"/>
    </row>
    <row r="155" spans="2:10" x14ac:dyDescent="0.25">
      <c r="B155" s="35" t="s">
        <v>108</v>
      </c>
      <c r="J155" s="34"/>
    </row>
    <row r="156" spans="2:10" x14ac:dyDescent="0.25">
      <c r="B156" s="33" t="s">
        <v>109</v>
      </c>
      <c r="C156">
        <f>IF(C108=0,0,(C124+C129)/C108*12)</f>
        <v>0</v>
      </c>
      <c r="E156">
        <f>IF(E108=0,0,(E124+E129)/E108*12)</f>
        <v>0</v>
      </c>
      <c r="G156">
        <f>IF(G108=0,0,(G124+G129)/G108*12)</f>
        <v>0</v>
      </c>
      <c r="I156">
        <f>IF(I108=0,0,(I124+I129)/I108*12)</f>
        <v>0</v>
      </c>
      <c r="J156" s="34"/>
    </row>
    <row r="157" spans="2:10" x14ac:dyDescent="0.25">
      <c r="B157" s="33" t="s">
        <v>110</v>
      </c>
      <c r="C157">
        <f>IF(C108=0,0,(C115+C116+C123)/12*C108+C156)</f>
        <v>0</v>
      </c>
      <c r="E157">
        <f>IF(E108=0,0,(E115+E116+E123)/12*E108+E156)</f>
        <v>0</v>
      </c>
      <c r="G157">
        <f>IF(G108=0,0,(G115+G116+G123)/12*G108+G156)</f>
        <v>0</v>
      </c>
      <c r="I157">
        <f>IF(I108=0,0,(I115+I116+I123)/12*I108+I156)</f>
        <v>0</v>
      </c>
      <c r="J157" s="34"/>
    </row>
    <row r="158" spans="2:10" x14ac:dyDescent="0.25">
      <c r="B158" s="33" t="s">
        <v>111</v>
      </c>
      <c r="C158">
        <f>IF(C163=0,0,IF(C108=0,"-",C157/(C163*12)))</f>
        <v>0</v>
      </c>
      <c r="E158">
        <f>IF(E163=0,0,IF(E108=0,"-",E157/(E163*12)))</f>
        <v>0</v>
      </c>
      <c r="G158">
        <f>IF(G163=0,0,IF(G108=0,"-",G157/(G163*12)))</f>
        <v>0</v>
      </c>
      <c r="I158">
        <f>IF(I163=0,0,IF(I108=0,"-",I157/(I163*12)))</f>
        <v>0</v>
      </c>
      <c r="J158" s="34"/>
    </row>
    <row r="159" spans="2:10" x14ac:dyDescent="0.25">
      <c r="B159" s="33" t="s">
        <v>112</v>
      </c>
      <c r="C159" s="36" t="str">
        <f>IF(C108=0,"N/A",IF(C125&lt;=0,"N/A",(C115+C124+C129)/C125))</f>
        <v>N/A</v>
      </c>
      <c r="D159" s="36"/>
      <c r="E159" s="36" t="str">
        <f>IF(E108=0,"N/A",IF(E125&lt;=0,"N/A",(E115+E124+E129)/E125))</f>
        <v>N/A</v>
      </c>
      <c r="F159" s="36"/>
      <c r="G159" s="36" t="str">
        <f>IF(G108=0,"N/A",IF(G125&lt;=0,"N/A",(G115+G124+G129)/G125))</f>
        <v>N/A</v>
      </c>
      <c r="H159" s="36"/>
      <c r="I159" s="36" t="str">
        <f>IF(I108=0,"N/A",IF(I125&lt;=0,"N/A",(I115+I124+I129)/I125))</f>
        <v>N/A</v>
      </c>
      <c r="J159" s="34"/>
    </row>
    <row r="160" spans="2:10" ht="15.75" thickBot="1" x14ac:dyDescent="0.3">
      <c r="B160" s="43" t="s">
        <v>113</v>
      </c>
      <c r="C160" s="44" t="str">
        <f>IF(C108=0,0,IF(C145&lt;0,"Aplicador",IF(C157&lt;=0,"N/A",C145/C157)))</f>
        <v>N/A</v>
      </c>
      <c r="D160" s="41"/>
      <c r="E160" s="44" t="str">
        <f>IF(E108=0,0,IF(E145&lt;0,"Aplicador",IF(E157&lt;=0,"N/A",E145/E157)))</f>
        <v>N/A</v>
      </c>
      <c r="F160" s="41"/>
      <c r="G160" s="44" t="str">
        <f>IF(G108=0,0,IF(G145&lt;0,"Aplicador",IF(G157&lt;=0,"N/A",G145/G157)))</f>
        <v>N/A</v>
      </c>
      <c r="H160" s="41"/>
      <c r="I160" s="44" t="str">
        <f>IF(I108=0,0,IF(I145&lt;0,"Aplicador",IF(I157&lt;=0,"N/A",I145/I157)))</f>
        <v>N/A</v>
      </c>
      <c r="J160" s="42"/>
    </row>
    <row r="161" spans="2:10" x14ac:dyDescent="0.25">
      <c r="B161" s="33"/>
      <c r="J161" s="34"/>
    </row>
    <row r="162" spans="2:10" x14ac:dyDescent="0.25">
      <c r="B162" s="35" t="s">
        <v>114</v>
      </c>
      <c r="J162" s="34"/>
    </row>
    <row r="163" spans="2:10" ht="15.75" x14ac:dyDescent="0.25">
      <c r="B163" s="37" t="s">
        <v>115</v>
      </c>
      <c r="C163">
        <f>C113/C108</f>
        <v>0</v>
      </c>
      <c r="E163">
        <f>E113/E108</f>
        <v>0</v>
      </c>
      <c r="G163">
        <f>G113/G108</f>
        <v>0</v>
      </c>
      <c r="I163">
        <f>I113/I108</f>
        <v>0</v>
      </c>
      <c r="J163" s="34"/>
    </row>
    <row r="164" spans="2:10" ht="15.75" x14ac:dyDescent="0.25">
      <c r="B164" s="38" t="s">
        <v>116</v>
      </c>
      <c r="J164" s="34"/>
    </row>
    <row r="165" spans="2:10" ht="15.75" x14ac:dyDescent="0.25">
      <c r="B165" s="39" t="s">
        <v>117</v>
      </c>
      <c r="C165" t="e">
        <f>(C17+C18)/(C118/C108)*30</f>
        <v>#DIV/0!</v>
      </c>
      <c r="E165" t="e">
        <f>(E17+E18)/(E118/E108)*30</f>
        <v>#DIV/0!</v>
      </c>
      <c r="G165" t="e">
        <f>(G17+G18)/(G118/G108)*30</f>
        <v>#DIV/0!</v>
      </c>
      <c r="I165" t="e">
        <f>(I17+I18)/(I118/I108)*30</f>
        <v>#DIV/0!</v>
      </c>
      <c r="J165" s="34"/>
    </row>
    <row r="166" spans="2:10" ht="15.75" x14ac:dyDescent="0.25">
      <c r="B166" s="39" t="s">
        <v>118</v>
      </c>
      <c r="C166" t="e">
        <f>(C14+C15+C16)/(C111/C108)*30</f>
        <v>#DIV/0!</v>
      </c>
      <c r="E166" t="e">
        <f>(E14+E15+E16)/(E111/E108)*30</f>
        <v>#DIV/0!</v>
      </c>
      <c r="G166" t="e">
        <f>(G14+G15+G16)/(G111/G108)*30</f>
        <v>#DIV/0!</v>
      </c>
      <c r="I166" t="e">
        <f>(I14+I15+I16)/(I111/I108)*30</f>
        <v>#DIV/0!</v>
      </c>
      <c r="J166" s="34"/>
    </row>
    <row r="167" spans="2:10" ht="15.75" x14ac:dyDescent="0.25">
      <c r="B167" s="39" t="s">
        <v>119</v>
      </c>
      <c r="C167" t="e">
        <f>(C52+C53)/((C17+C18)-C118)/C108*30</f>
        <v>#DIV/0!</v>
      </c>
      <c r="E167" t="e">
        <f>(E52+E53)/((E17+E18)-E118)/E108*30</f>
        <v>#DIV/0!</v>
      </c>
      <c r="G167" t="e">
        <f>(G52+G53)/((G17+G18)-G118)/G108*30</f>
        <v>#DIV/0!</v>
      </c>
      <c r="I167" t="e">
        <f>(I52+I53)/((I17+I18)-I118)/I108*30</f>
        <v>#DIV/0!</v>
      </c>
      <c r="J167" s="34"/>
    </row>
    <row r="168" spans="2:10" ht="16.5" thickBot="1" x14ac:dyDescent="0.3">
      <c r="B168" s="40" t="s">
        <v>120</v>
      </c>
      <c r="C168" s="41" t="e">
        <f>C165+C166-C167</f>
        <v>#DIV/0!</v>
      </c>
      <c r="D168" s="41"/>
      <c r="E168" s="41" t="e">
        <f>E165+E166-E167</f>
        <v>#DIV/0!</v>
      </c>
      <c r="F168" s="41"/>
      <c r="G168" s="41" t="e">
        <f>G165+G166-G167</f>
        <v>#DIV/0!</v>
      </c>
      <c r="H168" s="41"/>
      <c r="I168" s="41" t="e">
        <f>I165+I166-I167</f>
        <v>#DIV/0!</v>
      </c>
      <c r="J168" s="42"/>
    </row>
  </sheetData>
  <mergeCells count="17">
    <mergeCell ref="B106:J106"/>
    <mergeCell ref="B143:J143"/>
    <mergeCell ref="B153:J153"/>
    <mergeCell ref="C3:D3"/>
    <mergeCell ref="E3:F3"/>
    <mergeCell ref="G3:H3"/>
    <mergeCell ref="I3:J3"/>
    <mergeCell ref="B5:J5"/>
    <mergeCell ref="B7:J7"/>
    <mergeCell ref="C1:D1"/>
    <mergeCell ref="E1:F1"/>
    <mergeCell ref="G1:H1"/>
    <mergeCell ref="I1:J1"/>
    <mergeCell ref="C2:D2"/>
    <mergeCell ref="E2:F2"/>
    <mergeCell ref="G2:H2"/>
    <mergeCell ref="I2:J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E4E4-2BD9-4D22-91EC-72A7D5A06180}">
  <dimension ref="B1:J168"/>
  <sheetViews>
    <sheetView workbookViewId="0">
      <selection activeCell="C11" sqref="C11"/>
    </sheetView>
  </sheetViews>
  <sheetFormatPr defaultRowHeight="15" x14ac:dyDescent="0.25"/>
  <cols>
    <col min="2" max="2" width="41" bestFit="1" customWidth="1"/>
    <col min="3" max="3" width="17.5703125" bestFit="1" customWidth="1"/>
    <col min="4" max="4" width="3.5703125" bestFit="1" customWidth="1"/>
    <col min="5" max="5" width="17.5703125" bestFit="1" customWidth="1"/>
    <col min="6" max="6" width="3.5703125" bestFit="1" customWidth="1"/>
    <col min="7" max="7" width="17.5703125" bestFit="1" customWidth="1"/>
    <col min="8" max="8" width="3.5703125" bestFit="1" customWidth="1"/>
    <col min="9" max="9" width="17.5703125" bestFit="1" customWidth="1"/>
    <col min="10" max="10" width="3.5703125" bestFit="1" customWidth="1"/>
  </cols>
  <sheetData>
    <row r="1" spans="2:10" x14ac:dyDescent="0.25">
      <c r="B1" s="1" t="s">
        <v>0</v>
      </c>
      <c r="C1" s="60">
        <f>SUM(C11+C29+C42)</f>
        <v>0</v>
      </c>
      <c r="D1" s="60"/>
      <c r="E1" s="60">
        <f>SUM(E11+E29+E42)</f>
        <v>0</v>
      </c>
      <c r="F1" s="60"/>
      <c r="G1" s="60">
        <f>SUM(G11+G29+G42)</f>
        <v>0</v>
      </c>
      <c r="H1" s="60"/>
      <c r="I1" s="60">
        <f>SUM(I11+I29+I42)</f>
        <v>0</v>
      </c>
      <c r="J1" s="60"/>
    </row>
    <row r="2" spans="2:10" x14ac:dyDescent="0.25">
      <c r="B2" s="1" t="s">
        <v>1</v>
      </c>
      <c r="C2" s="60">
        <f>C51+C79+C97+C99+C101</f>
        <v>0</v>
      </c>
      <c r="D2" s="60"/>
      <c r="E2" s="60">
        <f>E51+E79+E97+E99+E101</f>
        <v>0</v>
      </c>
      <c r="F2" s="60"/>
      <c r="G2" s="60">
        <f>G51+G79+G97+G99+G101</f>
        <v>0</v>
      </c>
      <c r="H2" s="60"/>
      <c r="I2" s="60">
        <f>I51+I79+I97+I99+I101</f>
        <v>0</v>
      </c>
      <c r="J2" s="60"/>
    </row>
    <row r="3" spans="2:10" x14ac:dyDescent="0.25">
      <c r="B3" s="1" t="s">
        <v>2</v>
      </c>
      <c r="C3" s="60">
        <f>C1-C2</f>
        <v>0</v>
      </c>
      <c r="D3" s="60"/>
      <c r="E3" s="60">
        <f>E1-E2</f>
        <v>0</v>
      </c>
      <c r="F3" s="60"/>
      <c r="G3" s="60">
        <f>G1-G2</f>
        <v>0</v>
      </c>
      <c r="H3" s="60"/>
      <c r="I3" s="60">
        <f>I1-I2</f>
        <v>0</v>
      </c>
      <c r="J3" s="60"/>
    </row>
    <row r="5" spans="2:10" ht="18.75" x14ac:dyDescent="0.3">
      <c r="B5" s="67" t="s">
        <v>144</v>
      </c>
      <c r="C5" s="67"/>
      <c r="D5" s="67"/>
      <c r="E5" s="67"/>
      <c r="F5" s="67"/>
      <c r="G5" s="67"/>
      <c r="H5" s="67"/>
      <c r="I5" s="67"/>
      <c r="J5" s="67"/>
    </row>
    <row r="6" spans="2:10" ht="15.75" thickBot="1" x14ac:dyDescent="0.3"/>
    <row r="7" spans="2:10" ht="21.75" thickBot="1" x14ac:dyDescent="0.4">
      <c r="B7" s="61" t="s">
        <v>4</v>
      </c>
      <c r="C7" s="62"/>
      <c r="D7" s="62"/>
      <c r="E7" s="62"/>
      <c r="F7" s="62"/>
      <c r="G7" s="62"/>
      <c r="H7" s="62"/>
      <c r="I7" s="62"/>
      <c r="J7" s="63"/>
    </row>
    <row r="8" spans="2:10" x14ac:dyDescent="0.25">
      <c r="B8" s="23"/>
      <c r="C8" s="32">
        <v>44896</v>
      </c>
      <c r="D8" s="32"/>
      <c r="E8" s="32">
        <v>45261</v>
      </c>
      <c r="F8" s="32"/>
      <c r="G8" s="32">
        <v>45627</v>
      </c>
      <c r="H8" s="32"/>
      <c r="I8" s="32">
        <v>45992</v>
      </c>
      <c r="J8" s="25"/>
    </row>
    <row r="9" spans="2:10" x14ac:dyDescent="0.25">
      <c r="B9" s="23" t="s">
        <v>5</v>
      </c>
      <c r="C9" s="26" t="s">
        <v>6</v>
      </c>
      <c r="D9" s="26" t="s">
        <v>93</v>
      </c>
      <c r="E9" s="26" t="s">
        <v>6</v>
      </c>
      <c r="F9" s="26" t="s">
        <v>93</v>
      </c>
      <c r="G9" s="26" t="s">
        <v>6</v>
      </c>
      <c r="H9" s="26" t="s">
        <v>93</v>
      </c>
      <c r="I9" s="26" t="s">
        <v>6</v>
      </c>
      <c r="J9" s="27" t="s">
        <v>93</v>
      </c>
    </row>
    <row r="10" spans="2:10" x14ac:dyDescent="0.25">
      <c r="B10" s="2"/>
      <c r="J10" s="3"/>
    </row>
    <row r="11" spans="2:10" x14ac:dyDescent="0.25">
      <c r="B11" s="23" t="s">
        <v>7</v>
      </c>
      <c r="C11" s="24">
        <f>SUM(C12:C27)</f>
        <v>0</v>
      </c>
      <c r="D11" s="6">
        <f t="shared" ref="D11:D27" si="0">IF($D$48="ERRO","ERRO",IF($D$48=0,0,C11/$D$48))</f>
        <v>0</v>
      </c>
      <c r="E11" s="24">
        <f>SUM(E12:E27)</f>
        <v>0</v>
      </c>
      <c r="F11" s="6">
        <f t="shared" ref="F11:F27" si="1">IF($F$48="ERRO","ERRO",IF($F$48=0,0,E11/$F$48))</f>
        <v>0</v>
      </c>
      <c r="G11" s="24">
        <f>SUM(G12:G27)</f>
        <v>0</v>
      </c>
      <c r="H11" s="6">
        <f t="shared" ref="H11:H27" si="2">IF($H$48="ERRO","ERRO",IF($H$48=0,0,G11/$H$48))</f>
        <v>0</v>
      </c>
      <c r="I11" s="24">
        <f>SUM(I12:I27)</f>
        <v>0</v>
      </c>
      <c r="J11" s="7">
        <f t="shared" ref="J11:J27" si="3">IF($J$48="ERRO","ERRO",IF($J$48=0,0,I11/$J$48))</f>
        <v>0</v>
      </c>
    </row>
    <row r="12" spans="2:10" ht="15.75" x14ac:dyDescent="0.25">
      <c r="B12" s="8" t="s">
        <v>8</v>
      </c>
      <c r="C12">
        <f>SUM(EMP_1!C12+EMP_2!C12)</f>
        <v>0</v>
      </c>
      <c r="D12" s="6">
        <f t="shared" si="0"/>
        <v>0</v>
      </c>
      <c r="E12">
        <f>SUM(EMP_1!E12+EMP_2!E12)</f>
        <v>0</v>
      </c>
      <c r="F12" s="6">
        <f t="shared" si="1"/>
        <v>0</v>
      </c>
      <c r="G12">
        <f>SUM(EMP_1!G12+EMP_2!G12)</f>
        <v>0</v>
      </c>
      <c r="H12" s="6">
        <f t="shared" si="2"/>
        <v>0</v>
      </c>
      <c r="I12">
        <f>SUM(EMP_1!I12+EMP_2!I12)</f>
        <v>0</v>
      </c>
      <c r="J12" s="7">
        <f t="shared" si="3"/>
        <v>0</v>
      </c>
    </row>
    <row r="13" spans="2:10" ht="15.75" x14ac:dyDescent="0.25">
      <c r="B13" s="8" t="s">
        <v>9</v>
      </c>
      <c r="C13">
        <f>SUM(EMP_1!C13+EMP_2!C13)</f>
        <v>0</v>
      </c>
      <c r="D13" s="6">
        <f t="shared" si="0"/>
        <v>0</v>
      </c>
      <c r="E13">
        <f>SUM(EMP_1!E13+EMP_2!E13)</f>
        <v>0</v>
      </c>
      <c r="F13" s="6">
        <f t="shared" si="1"/>
        <v>0</v>
      </c>
      <c r="G13">
        <f>SUM(EMP_1!G13+EMP_2!G13)</f>
        <v>0</v>
      </c>
      <c r="H13" s="6">
        <f t="shared" si="2"/>
        <v>0</v>
      </c>
      <c r="I13">
        <f>SUM(EMP_1!I13+EMP_2!I13)</f>
        <v>0</v>
      </c>
      <c r="J13" s="7">
        <f t="shared" si="3"/>
        <v>0</v>
      </c>
    </row>
    <row r="14" spans="2:10" ht="15.75" x14ac:dyDescent="0.25">
      <c r="B14" s="8" t="s">
        <v>10</v>
      </c>
      <c r="C14">
        <v>0</v>
      </c>
      <c r="D14" s="6">
        <f t="shared" si="0"/>
        <v>0</v>
      </c>
      <c r="E14">
        <v>0</v>
      </c>
      <c r="F14" s="6">
        <f t="shared" si="1"/>
        <v>0</v>
      </c>
      <c r="G14">
        <f>SUM(EMP_1!G14+EMP_2!G14)</f>
        <v>0</v>
      </c>
      <c r="H14" s="6">
        <f t="shared" si="2"/>
        <v>0</v>
      </c>
      <c r="I14">
        <f>SUM(EMP_1!I14+EMP_2!I14)</f>
        <v>0</v>
      </c>
      <c r="J14" s="7">
        <f t="shared" si="3"/>
        <v>0</v>
      </c>
    </row>
    <row r="15" spans="2:10" ht="15.75" x14ac:dyDescent="0.25">
      <c r="B15" s="8" t="s">
        <v>11</v>
      </c>
      <c r="C15">
        <f>SUM(EMP_1!C15+EMP_2!C15)</f>
        <v>0</v>
      </c>
      <c r="D15" s="6">
        <f t="shared" si="0"/>
        <v>0</v>
      </c>
      <c r="E15">
        <f>SUM(EMP_1!E15+EMP_2!E15)</f>
        <v>0</v>
      </c>
      <c r="F15" s="6">
        <f t="shared" si="1"/>
        <v>0</v>
      </c>
      <c r="G15">
        <f>SUM(EMP_1!G15+EMP_2!G15)</f>
        <v>0</v>
      </c>
      <c r="H15" s="6">
        <f t="shared" si="2"/>
        <v>0</v>
      </c>
      <c r="I15">
        <f>SUM(EMP_1!I15+EMP_2!I15)</f>
        <v>0</v>
      </c>
      <c r="J15" s="7">
        <f t="shared" si="3"/>
        <v>0</v>
      </c>
    </row>
    <row r="16" spans="2:10" ht="15.75" x14ac:dyDescent="0.25">
      <c r="B16" s="8" t="s">
        <v>12</v>
      </c>
      <c r="C16">
        <f>SUM(EMP_1!C16+EMP_2!C16)</f>
        <v>0</v>
      </c>
      <c r="D16" s="6">
        <f t="shared" si="0"/>
        <v>0</v>
      </c>
      <c r="E16">
        <f>SUM(EMP_1!E16+EMP_2!E16)</f>
        <v>0</v>
      </c>
      <c r="F16" s="6">
        <f t="shared" si="1"/>
        <v>0</v>
      </c>
      <c r="G16">
        <f>SUM(EMP_1!G16+EMP_2!G16)</f>
        <v>0</v>
      </c>
      <c r="H16" s="6">
        <f t="shared" si="2"/>
        <v>0</v>
      </c>
      <c r="I16">
        <f>SUM(EMP_1!I16+EMP_2!I16)</f>
        <v>0</v>
      </c>
      <c r="J16" s="7">
        <f t="shared" si="3"/>
        <v>0</v>
      </c>
    </row>
    <row r="17" spans="2:10" ht="15.75" x14ac:dyDescent="0.25">
      <c r="B17" s="8" t="s">
        <v>13</v>
      </c>
      <c r="C17">
        <f>SUM(EMP_1!C17+EMP_2!C17)</f>
        <v>0</v>
      </c>
      <c r="D17" s="6">
        <f t="shared" si="0"/>
        <v>0</v>
      </c>
      <c r="E17">
        <f>SUM(EMP_1!E17+EMP_2!E17)</f>
        <v>0</v>
      </c>
      <c r="F17" s="6">
        <f t="shared" si="1"/>
        <v>0</v>
      </c>
      <c r="G17">
        <f>SUM(EMP_1!G17+EMP_2!G17)</f>
        <v>0</v>
      </c>
      <c r="H17" s="6">
        <f t="shared" si="2"/>
        <v>0</v>
      </c>
      <c r="I17">
        <f>SUM(EMP_1!I17+EMP_2!I17)</f>
        <v>0</v>
      </c>
      <c r="J17" s="7">
        <f t="shared" si="3"/>
        <v>0</v>
      </c>
    </row>
    <row r="18" spans="2:10" ht="15.75" x14ac:dyDescent="0.25">
      <c r="B18" s="8" t="s">
        <v>14</v>
      </c>
      <c r="C18">
        <f>SUM(EMP_1!C18+EMP_2!C18)</f>
        <v>0</v>
      </c>
      <c r="D18" s="6">
        <f t="shared" si="0"/>
        <v>0</v>
      </c>
      <c r="E18">
        <f>SUM(EMP_1!E18+EMP_2!E18)</f>
        <v>0</v>
      </c>
      <c r="F18" s="6">
        <f t="shared" si="1"/>
        <v>0</v>
      </c>
      <c r="G18">
        <f>SUM(EMP_1!G18+EMP_2!G18)</f>
        <v>0</v>
      </c>
      <c r="H18" s="6">
        <f t="shared" si="2"/>
        <v>0</v>
      </c>
      <c r="I18">
        <f>SUM(EMP_1!I18+EMP_2!I18)</f>
        <v>0</v>
      </c>
      <c r="J18" s="7">
        <f t="shared" si="3"/>
        <v>0</v>
      </c>
    </row>
    <row r="19" spans="2:10" ht="15.75" x14ac:dyDescent="0.25">
      <c r="B19" s="8" t="s">
        <v>15</v>
      </c>
      <c r="C19">
        <f>SUM(EMP_1!C19+EMP_2!C19)</f>
        <v>0</v>
      </c>
      <c r="D19" s="6">
        <f t="shared" si="0"/>
        <v>0</v>
      </c>
      <c r="E19">
        <f>SUM(EMP_1!E19+EMP_2!E19)</f>
        <v>0</v>
      </c>
      <c r="F19" s="6">
        <f t="shared" si="1"/>
        <v>0</v>
      </c>
      <c r="G19">
        <f>SUM(EMP_1!G19+EMP_2!G19)</f>
        <v>0</v>
      </c>
      <c r="H19" s="6">
        <f t="shared" si="2"/>
        <v>0</v>
      </c>
      <c r="I19">
        <f>SUM(EMP_1!I19+EMP_2!I19)</f>
        <v>0</v>
      </c>
      <c r="J19" s="7">
        <f t="shared" si="3"/>
        <v>0</v>
      </c>
    </row>
    <row r="20" spans="2:10" ht="15.75" x14ac:dyDescent="0.25">
      <c r="B20" s="8" t="s">
        <v>16</v>
      </c>
      <c r="C20">
        <f>SUM(EMP_1!C20+EMP_2!C20)</f>
        <v>0</v>
      </c>
      <c r="D20" s="6">
        <f t="shared" si="0"/>
        <v>0</v>
      </c>
      <c r="E20">
        <f>SUM(EMP_1!E20+EMP_2!E20)</f>
        <v>0</v>
      </c>
      <c r="F20" s="6">
        <f t="shared" si="1"/>
        <v>0</v>
      </c>
      <c r="G20">
        <f>SUM(EMP_1!G20+EMP_2!G20)</f>
        <v>0</v>
      </c>
      <c r="H20" s="6">
        <f t="shared" si="2"/>
        <v>0</v>
      </c>
      <c r="I20">
        <f>SUM(EMP_1!I20+EMP_2!I20)</f>
        <v>0</v>
      </c>
      <c r="J20" s="7">
        <f t="shared" si="3"/>
        <v>0</v>
      </c>
    </row>
    <row r="21" spans="2:10" ht="15.75" x14ac:dyDescent="0.25">
      <c r="B21" s="8" t="s">
        <v>17</v>
      </c>
      <c r="C21">
        <f>SUM(EMP_1!C21+EMP_2!C21)</f>
        <v>0</v>
      </c>
      <c r="D21" s="6">
        <f t="shared" si="0"/>
        <v>0</v>
      </c>
      <c r="E21">
        <f>SUM(EMP_1!E21+EMP_2!E21)</f>
        <v>0</v>
      </c>
      <c r="F21" s="6">
        <f t="shared" si="1"/>
        <v>0</v>
      </c>
      <c r="G21">
        <f>SUM(EMP_1!G21+EMP_2!G21)</f>
        <v>0</v>
      </c>
      <c r="H21" s="6">
        <f t="shared" si="2"/>
        <v>0</v>
      </c>
      <c r="I21">
        <f>SUM(EMP_1!I21+EMP_2!I21)</f>
        <v>0</v>
      </c>
      <c r="J21" s="7">
        <f t="shared" si="3"/>
        <v>0</v>
      </c>
    </row>
    <row r="22" spans="2:10" ht="15.75" x14ac:dyDescent="0.25">
      <c r="B22" s="9" t="s">
        <v>18</v>
      </c>
      <c r="C22">
        <f>SUM(EMP_1!C22+EMP_2!C22)</f>
        <v>0</v>
      </c>
      <c r="D22" s="6">
        <f t="shared" si="0"/>
        <v>0</v>
      </c>
      <c r="E22">
        <f>SUM(EMP_1!E22+EMP_2!E22)</f>
        <v>0</v>
      </c>
      <c r="F22" s="6">
        <f t="shared" si="1"/>
        <v>0</v>
      </c>
      <c r="G22">
        <f>SUM(EMP_1!G22+EMP_2!G22)</f>
        <v>0</v>
      </c>
      <c r="H22" s="6">
        <f t="shared" si="2"/>
        <v>0</v>
      </c>
      <c r="I22">
        <f>SUM(EMP_1!I22+EMP_2!I22)</f>
        <v>0</v>
      </c>
      <c r="J22" s="7">
        <f t="shared" si="3"/>
        <v>0</v>
      </c>
    </row>
    <row r="23" spans="2:10" ht="15.75" x14ac:dyDescent="0.25">
      <c r="B23" s="9" t="s">
        <v>19</v>
      </c>
      <c r="C23">
        <f>SUM(EMP_1!C23+EMP_2!C23)</f>
        <v>0</v>
      </c>
      <c r="D23" s="6">
        <f t="shared" si="0"/>
        <v>0</v>
      </c>
      <c r="E23">
        <f>SUM(EMP_1!E23+EMP_2!E23)</f>
        <v>0</v>
      </c>
      <c r="F23" s="6">
        <f t="shared" si="1"/>
        <v>0</v>
      </c>
      <c r="G23">
        <f>SUM(EMP_1!G23+EMP_2!G23)</f>
        <v>0</v>
      </c>
      <c r="H23" s="6">
        <f t="shared" si="2"/>
        <v>0</v>
      </c>
      <c r="I23">
        <f>SUM(EMP_1!I23+EMP_2!I23)</f>
        <v>0</v>
      </c>
      <c r="J23" s="7">
        <f t="shared" si="3"/>
        <v>0</v>
      </c>
    </row>
    <row r="24" spans="2:10" ht="15.75" x14ac:dyDescent="0.25">
      <c r="B24" s="9" t="s">
        <v>20</v>
      </c>
      <c r="C24">
        <f>SUM(EMP_1!C24+EMP_2!C24)</f>
        <v>0</v>
      </c>
      <c r="D24" s="6">
        <f t="shared" si="0"/>
        <v>0</v>
      </c>
      <c r="E24">
        <f>SUM(EMP_1!E24+EMP_2!E24)</f>
        <v>0</v>
      </c>
      <c r="F24" s="6">
        <f t="shared" si="1"/>
        <v>0</v>
      </c>
      <c r="G24">
        <f>SUM(EMP_1!G24+EMP_2!G24)</f>
        <v>0</v>
      </c>
      <c r="H24" s="6">
        <f t="shared" si="2"/>
        <v>0</v>
      </c>
      <c r="I24">
        <f>SUM(EMP_1!I24+EMP_2!I24)</f>
        <v>0</v>
      </c>
      <c r="J24" s="7">
        <f t="shared" si="3"/>
        <v>0</v>
      </c>
    </row>
    <row r="25" spans="2:10" ht="15.75" x14ac:dyDescent="0.25">
      <c r="B25" s="9" t="s">
        <v>20</v>
      </c>
      <c r="C25">
        <f>SUM(EMP_1!C25+EMP_2!C25)</f>
        <v>0</v>
      </c>
      <c r="D25" s="6">
        <f t="shared" si="0"/>
        <v>0</v>
      </c>
      <c r="E25">
        <f>SUM(EMP_1!E25+EMP_2!E25)</f>
        <v>0</v>
      </c>
      <c r="F25" s="6">
        <f t="shared" si="1"/>
        <v>0</v>
      </c>
      <c r="G25">
        <f>SUM(EMP_1!G25+EMP_2!G25)</f>
        <v>0</v>
      </c>
      <c r="H25" s="6">
        <f t="shared" si="2"/>
        <v>0</v>
      </c>
      <c r="I25">
        <f>SUM(EMP_1!I25+EMP_2!I25)</f>
        <v>0</v>
      </c>
      <c r="J25" s="7">
        <f t="shared" si="3"/>
        <v>0</v>
      </c>
    </row>
    <row r="26" spans="2:10" ht="15.75" x14ac:dyDescent="0.25">
      <c r="B26" s="9" t="s">
        <v>21</v>
      </c>
      <c r="C26">
        <f>SUM(EMP_1!C26+EMP_2!C26)</f>
        <v>0</v>
      </c>
      <c r="D26" s="6">
        <f t="shared" si="0"/>
        <v>0</v>
      </c>
      <c r="E26">
        <f>SUM(EMP_1!E26+EMP_2!E26)</f>
        <v>0</v>
      </c>
      <c r="F26" s="6">
        <f t="shared" si="1"/>
        <v>0</v>
      </c>
      <c r="G26">
        <f>SUM(EMP_1!G26+EMP_2!G26)</f>
        <v>0</v>
      </c>
      <c r="H26" s="6">
        <f t="shared" si="2"/>
        <v>0</v>
      </c>
      <c r="I26">
        <f>SUM(EMP_1!I26+EMP_2!I26)</f>
        <v>0</v>
      </c>
      <c r="J26" s="7">
        <f t="shared" si="3"/>
        <v>0</v>
      </c>
    </row>
    <row r="27" spans="2:10" ht="15.75" x14ac:dyDescent="0.25">
      <c r="B27" s="9" t="s">
        <v>21</v>
      </c>
      <c r="C27">
        <f>SUM(EMP_1!C27+EMP_2!C27)</f>
        <v>0</v>
      </c>
      <c r="D27" s="6">
        <f t="shared" si="0"/>
        <v>0</v>
      </c>
      <c r="E27">
        <f>SUM(EMP_1!E27+EMP_2!E27)</f>
        <v>0</v>
      </c>
      <c r="F27" s="6">
        <f t="shared" si="1"/>
        <v>0</v>
      </c>
      <c r="G27">
        <f>SUM(EMP_1!G27+EMP_2!G27)</f>
        <v>0</v>
      </c>
      <c r="H27" s="6">
        <f t="shared" si="2"/>
        <v>0</v>
      </c>
      <c r="I27">
        <f>SUM(EMP_1!I27+EMP_2!I27)</f>
        <v>0</v>
      </c>
      <c r="J27" s="7">
        <f t="shared" si="3"/>
        <v>0</v>
      </c>
    </row>
    <row r="28" spans="2:10" x14ac:dyDescent="0.25">
      <c r="B28" s="2"/>
      <c r="D28" s="6"/>
      <c r="F28" s="6"/>
      <c r="H28" s="6"/>
      <c r="J28" s="7"/>
    </row>
    <row r="29" spans="2:10" ht="15.75" x14ac:dyDescent="0.25">
      <c r="B29" s="10" t="s">
        <v>22</v>
      </c>
      <c r="C29" s="24">
        <f>SUM(C30:C40)</f>
        <v>0</v>
      </c>
      <c r="D29" s="6">
        <f t="shared" ref="D29:D40" si="4">IF($D$48="ERRO","ERRO",IF($D$48=0,0,C29/$D$48))</f>
        <v>0</v>
      </c>
      <c r="E29" s="24">
        <f>SUM(E30:E40)</f>
        <v>0</v>
      </c>
      <c r="F29" s="6">
        <f t="shared" ref="F29:F40" si="5">IF($F$48="ERRO","ERRO",IF($F$48=0,0,E29/$F$48))</f>
        <v>0</v>
      </c>
      <c r="G29" s="24">
        <f>SUM(G30:G40)</f>
        <v>0</v>
      </c>
      <c r="H29" s="6">
        <f t="shared" ref="H29:H40" si="6">IF($H$48="ERRO","ERRO",IF($H$48=0,0,G29/$H$48))</f>
        <v>0</v>
      </c>
      <c r="I29" s="24">
        <f>SUM(I30:I40)</f>
        <v>0</v>
      </c>
      <c r="J29" s="7">
        <f t="shared" ref="J29:J40" si="7">IF($J$48="ERRO","ERRO",IF($J$48=0,0,I29/$J$48))</f>
        <v>0</v>
      </c>
    </row>
    <row r="30" spans="2:10" ht="15.75" x14ac:dyDescent="0.25">
      <c r="B30" s="8" t="s">
        <v>10</v>
      </c>
      <c r="C30">
        <f>SUM(EMP_1!C30+EMP_2!C30)</f>
        <v>0</v>
      </c>
      <c r="D30" s="6">
        <f t="shared" si="4"/>
        <v>0</v>
      </c>
      <c r="E30">
        <f>SUM(EMP_1!E30+EMP_2!E30)</f>
        <v>0</v>
      </c>
      <c r="F30" s="6">
        <f t="shared" si="5"/>
        <v>0</v>
      </c>
      <c r="G30">
        <f>SUM(EMP_1!G30+EMP_2!G30)</f>
        <v>0</v>
      </c>
      <c r="H30" s="6">
        <f t="shared" si="6"/>
        <v>0</v>
      </c>
      <c r="I30">
        <f>SUM(EMP_1!I30+EMP_2!I30)</f>
        <v>0</v>
      </c>
      <c r="J30" s="7">
        <f t="shared" si="7"/>
        <v>0</v>
      </c>
    </row>
    <row r="31" spans="2:10" ht="15.75" x14ac:dyDescent="0.25">
      <c r="B31" s="8" t="s">
        <v>11</v>
      </c>
      <c r="C31">
        <f>SUM(EMP_1!C31+EMP_2!C31)</f>
        <v>0</v>
      </c>
      <c r="D31" s="6">
        <f t="shared" si="4"/>
        <v>0</v>
      </c>
      <c r="E31">
        <f>SUM(EMP_1!E31+EMP_2!E31)</f>
        <v>0</v>
      </c>
      <c r="F31" s="6">
        <f t="shared" si="5"/>
        <v>0</v>
      </c>
      <c r="G31">
        <f>SUM(EMP_1!G31+EMP_2!G31)</f>
        <v>0</v>
      </c>
      <c r="H31" s="6">
        <f t="shared" si="6"/>
        <v>0</v>
      </c>
      <c r="I31">
        <f>SUM(EMP_1!I31+EMP_2!I31)</f>
        <v>0</v>
      </c>
      <c r="J31" s="7">
        <f t="shared" si="7"/>
        <v>0</v>
      </c>
    </row>
    <row r="32" spans="2:10" ht="15.75" x14ac:dyDescent="0.25">
      <c r="B32" s="8" t="s">
        <v>23</v>
      </c>
      <c r="C32">
        <f>SUM(EMP_1!C32+EMP_2!C32)</f>
        <v>0</v>
      </c>
      <c r="D32" s="6">
        <f t="shared" si="4"/>
        <v>0</v>
      </c>
      <c r="E32">
        <f>SUM(EMP_1!E32+EMP_2!E32)</f>
        <v>0</v>
      </c>
      <c r="F32" s="6">
        <f t="shared" si="5"/>
        <v>0</v>
      </c>
      <c r="G32">
        <f>SUM(EMP_1!G32+EMP_2!G32)</f>
        <v>0</v>
      </c>
      <c r="H32" s="6">
        <f t="shared" si="6"/>
        <v>0</v>
      </c>
      <c r="I32">
        <f>SUM(EMP_1!I32+EMP_2!I32)</f>
        <v>0</v>
      </c>
      <c r="J32" s="7">
        <f t="shared" si="7"/>
        <v>0</v>
      </c>
    </row>
    <row r="33" spans="2:10" ht="15.75" x14ac:dyDescent="0.25">
      <c r="B33" s="9" t="s">
        <v>24</v>
      </c>
      <c r="C33">
        <f>SUM(EMP_1!C33+EMP_2!C33)</f>
        <v>0</v>
      </c>
      <c r="D33" s="6">
        <f t="shared" si="4"/>
        <v>0</v>
      </c>
      <c r="E33">
        <f>SUM(EMP_1!E33+EMP_2!E33)</f>
        <v>0</v>
      </c>
      <c r="F33" s="6">
        <f t="shared" si="5"/>
        <v>0</v>
      </c>
      <c r="G33">
        <f>SUM(EMP_1!G33+EMP_2!G33)</f>
        <v>0</v>
      </c>
      <c r="H33" s="6">
        <f t="shared" si="6"/>
        <v>0</v>
      </c>
      <c r="I33">
        <f>SUM(EMP_1!I33+EMP_2!I33)</f>
        <v>0</v>
      </c>
      <c r="J33" s="7">
        <f t="shared" si="7"/>
        <v>0</v>
      </c>
    </row>
    <row r="34" spans="2:10" ht="15.75" x14ac:dyDescent="0.25">
      <c r="B34" s="9" t="s">
        <v>19</v>
      </c>
      <c r="C34">
        <f>SUM(EMP_1!C34+EMP_2!C34)</f>
        <v>0</v>
      </c>
      <c r="D34" s="6">
        <f t="shared" si="4"/>
        <v>0</v>
      </c>
      <c r="E34">
        <f>SUM(EMP_1!E34+EMP_2!E34)</f>
        <v>0</v>
      </c>
      <c r="F34" s="6">
        <f t="shared" si="5"/>
        <v>0</v>
      </c>
      <c r="G34">
        <f>SUM(EMP_1!G34+EMP_2!G34)</f>
        <v>0</v>
      </c>
      <c r="H34" s="6">
        <f t="shared" si="6"/>
        <v>0</v>
      </c>
      <c r="I34">
        <f>SUM(EMP_1!I34+EMP_2!I34)</f>
        <v>0</v>
      </c>
      <c r="J34" s="7">
        <f t="shared" si="7"/>
        <v>0</v>
      </c>
    </row>
    <row r="35" spans="2:10" ht="15.75" x14ac:dyDescent="0.25">
      <c r="B35" s="8" t="s">
        <v>15</v>
      </c>
      <c r="C35">
        <f>SUM(EMP_1!C35+EMP_2!C35)</f>
        <v>0</v>
      </c>
      <c r="D35" s="6">
        <f t="shared" si="4"/>
        <v>0</v>
      </c>
      <c r="E35">
        <f>SUM(EMP_1!E35+EMP_2!E35)</f>
        <v>0</v>
      </c>
      <c r="F35" s="6">
        <f t="shared" si="5"/>
        <v>0</v>
      </c>
      <c r="G35">
        <f>SUM(EMP_1!G35+EMP_2!G35)</f>
        <v>0</v>
      </c>
      <c r="H35" s="6">
        <f t="shared" si="6"/>
        <v>0</v>
      </c>
      <c r="I35">
        <f>SUM(EMP_1!I35+EMP_2!I35)</f>
        <v>0</v>
      </c>
      <c r="J35" s="7">
        <f t="shared" si="7"/>
        <v>0</v>
      </c>
    </row>
    <row r="36" spans="2:10" ht="15.75" x14ac:dyDescent="0.25">
      <c r="B36" s="9" t="s">
        <v>25</v>
      </c>
      <c r="C36">
        <f>SUM(EMP_1!C36+EMP_2!C36)</f>
        <v>0</v>
      </c>
      <c r="D36" s="6">
        <f t="shared" si="4"/>
        <v>0</v>
      </c>
      <c r="E36">
        <f>SUM(EMP_1!E36+EMP_2!E36)</f>
        <v>0</v>
      </c>
      <c r="F36" s="6">
        <f t="shared" si="5"/>
        <v>0</v>
      </c>
      <c r="G36">
        <f>SUM(EMP_1!G36+EMP_2!G36)</f>
        <v>0</v>
      </c>
      <c r="H36" s="6">
        <f t="shared" si="6"/>
        <v>0</v>
      </c>
      <c r="I36">
        <f>SUM(EMP_1!I36+EMP_2!I36)</f>
        <v>0</v>
      </c>
      <c r="J36" s="7">
        <f t="shared" si="7"/>
        <v>0</v>
      </c>
    </row>
    <row r="37" spans="2:10" ht="15.75" x14ac:dyDescent="0.25">
      <c r="B37" s="9" t="s">
        <v>20</v>
      </c>
      <c r="C37">
        <f>SUM(EMP_1!C37+EMP_2!C37)</f>
        <v>0</v>
      </c>
      <c r="D37" s="6">
        <f t="shared" si="4"/>
        <v>0</v>
      </c>
      <c r="E37">
        <f>SUM(EMP_1!E37+EMP_2!E37)</f>
        <v>0</v>
      </c>
      <c r="F37" s="6">
        <f t="shared" si="5"/>
        <v>0</v>
      </c>
      <c r="G37">
        <f>SUM(EMP_1!G37+EMP_2!G37)</f>
        <v>0</v>
      </c>
      <c r="H37" s="6">
        <f t="shared" si="6"/>
        <v>0</v>
      </c>
      <c r="I37">
        <f>SUM(EMP_1!I37+EMP_2!I37)</f>
        <v>0</v>
      </c>
      <c r="J37" s="7">
        <f t="shared" si="7"/>
        <v>0</v>
      </c>
    </row>
    <row r="38" spans="2:10" ht="15.75" x14ac:dyDescent="0.25">
      <c r="B38" s="9" t="s">
        <v>20</v>
      </c>
      <c r="C38">
        <f>SUM(EMP_1!C38+EMP_2!C38)</f>
        <v>0</v>
      </c>
      <c r="D38" s="6">
        <f t="shared" si="4"/>
        <v>0</v>
      </c>
      <c r="E38">
        <f>SUM(EMP_1!E38+EMP_2!E38)</f>
        <v>0</v>
      </c>
      <c r="F38" s="6">
        <f t="shared" si="5"/>
        <v>0</v>
      </c>
      <c r="G38">
        <f>SUM(EMP_1!G38+EMP_2!G38)</f>
        <v>0</v>
      </c>
      <c r="H38" s="6">
        <f t="shared" si="6"/>
        <v>0</v>
      </c>
      <c r="I38">
        <f>SUM(EMP_1!I38+EMP_2!I38)</f>
        <v>0</v>
      </c>
      <c r="J38" s="7">
        <f t="shared" si="7"/>
        <v>0</v>
      </c>
    </row>
    <row r="39" spans="2:10" ht="15.75" x14ac:dyDescent="0.25">
      <c r="B39" s="9" t="s">
        <v>21</v>
      </c>
      <c r="C39">
        <f>SUM(EMP_1!C39+EMP_2!C39)</f>
        <v>0</v>
      </c>
      <c r="D39" s="6">
        <f t="shared" si="4"/>
        <v>0</v>
      </c>
      <c r="E39">
        <f>SUM(EMP_1!E39+EMP_2!E39)</f>
        <v>0</v>
      </c>
      <c r="F39" s="6">
        <f t="shared" si="5"/>
        <v>0</v>
      </c>
      <c r="G39">
        <f>SUM(EMP_1!G39+EMP_2!G39)</f>
        <v>0</v>
      </c>
      <c r="H39" s="6">
        <f t="shared" si="6"/>
        <v>0</v>
      </c>
      <c r="I39">
        <f>SUM(EMP_1!I39+EMP_2!I39)</f>
        <v>0</v>
      </c>
      <c r="J39" s="7">
        <f t="shared" si="7"/>
        <v>0</v>
      </c>
    </row>
    <row r="40" spans="2:10" ht="15.75" x14ac:dyDescent="0.25">
      <c r="B40" s="9" t="s">
        <v>21</v>
      </c>
      <c r="C40">
        <f>SUM(EMP_1!C40+EMP_2!C40)</f>
        <v>0</v>
      </c>
      <c r="D40" s="6">
        <f t="shared" si="4"/>
        <v>0</v>
      </c>
      <c r="E40">
        <f>SUM(EMP_1!E40+EMP_2!E40)</f>
        <v>0</v>
      </c>
      <c r="F40" s="6">
        <f t="shared" si="5"/>
        <v>0</v>
      </c>
      <c r="G40">
        <f>SUM(EMP_1!G40+EMP_2!G40)</f>
        <v>0</v>
      </c>
      <c r="H40" s="6">
        <f t="shared" si="6"/>
        <v>0</v>
      </c>
      <c r="I40">
        <f>SUM(EMP_1!I40+EMP_2!I40)</f>
        <v>0</v>
      </c>
      <c r="J40" s="7">
        <f t="shared" si="7"/>
        <v>0</v>
      </c>
    </row>
    <row r="41" spans="2:10" ht="15.75" x14ac:dyDescent="0.25">
      <c r="B41" s="8"/>
      <c r="D41" s="6"/>
      <c r="F41" s="6"/>
      <c r="H41" s="6"/>
      <c r="J41" s="7"/>
    </row>
    <row r="42" spans="2:10" ht="15.75" x14ac:dyDescent="0.25">
      <c r="B42" s="11" t="s">
        <v>26</v>
      </c>
      <c r="C42" s="24">
        <f>SUM(C43:C45)</f>
        <v>0</v>
      </c>
      <c r="D42" s="6">
        <f>IF($D$48="ERRO","ERRO",IF($D$48=0,0,C42/$D$48))</f>
        <v>0</v>
      </c>
      <c r="E42" s="24">
        <f>SUM(E43:E45)</f>
        <v>0</v>
      </c>
      <c r="F42" s="6">
        <f>IF($F$48="ERRO","ERRO",IF($F$48=0,0,E42/$F$48))</f>
        <v>0</v>
      </c>
      <c r="G42" s="24">
        <f>SUM(G43:G45)</f>
        <v>0</v>
      </c>
      <c r="H42" s="6">
        <f>IF($H$48="ERRO","ERRO",IF($H$48=0,0,G42/$H$48))</f>
        <v>0</v>
      </c>
      <c r="I42" s="24">
        <f>SUM(I43:I45)</f>
        <v>0</v>
      </c>
      <c r="J42" s="7">
        <f>IF($J$48="ERRO","ERRO",IF($J$48=0,0,I42/$J$48))</f>
        <v>0</v>
      </c>
    </row>
    <row r="43" spans="2:10" ht="15.75" x14ac:dyDescent="0.25">
      <c r="B43" s="8" t="s">
        <v>27</v>
      </c>
      <c r="C43">
        <f>SUM(EMP_1!C43+EMP_2!C43)</f>
        <v>0</v>
      </c>
      <c r="D43" s="6">
        <f>IF($D$48="ERRO","ERRO",IF($D$48=0,0,C43/$D$48))</f>
        <v>0</v>
      </c>
      <c r="E43">
        <f>SUM(EMP_1!E43+EMP_2!E43)</f>
        <v>0</v>
      </c>
      <c r="F43" s="6">
        <f>IF($F$48="ERRO","ERRO",IF($F$48=0,0,E43/$F$48))</f>
        <v>0</v>
      </c>
      <c r="G43">
        <f>SUM(EMP_1!G43+EMP_2!G43)</f>
        <v>0</v>
      </c>
      <c r="H43" s="6">
        <f>IF($H$48="ERRO","ERRO",IF($H$48=0,0,G43/$H$48))</f>
        <v>0</v>
      </c>
      <c r="I43">
        <f>SUM(EMP_1!I43+EMP_2!I43)</f>
        <v>0</v>
      </c>
      <c r="J43" s="7">
        <f>IF($J$48="ERRO","ERRO",IF($J$48=0,0,I43/$J$48))</f>
        <v>0</v>
      </c>
    </row>
    <row r="44" spans="2:10" ht="15.75" x14ac:dyDescent="0.25">
      <c r="B44" s="8" t="s">
        <v>28</v>
      </c>
      <c r="C44">
        <f>SUM(EMP_1!C44+EMP_2!C44)</f>
        <v>0</v>
      </c>
      <c r="D44" s="6">
        <f>IF($D$48="ERRO","ERRO",IF($D$48=0,0,C44/$D$48))</f>
        <v>0</v>
      </c>
      <c r="E44">
        <f>SUM(EMP_1!E44+EMP_2!E44)</f>
        <v>0</v>
      </c>
      <c r="F44" s="6">
        <f>IF($F$48="ERRO","ERRO",IF($F$48=0,0,E44/$F$48))</f>
        <v>0</v>
      </c>
      <c r="G44">
        <f>SUM(EMP_1!G44+EMP_2!G44)</f>
        <v>0</v>
      </c>
      <c r="H44" s="6">
        <f>IF($H$48="ERRO","ERRO",IF($H$48=0,0,G44/$H$48))</f>
        <v>0</v>
      </c>
      <c r="I44">
        <f>SUM(EMP_1!I44+EMP_2!I44)</f>
        <v>0</v>
      </c>
      <c r="J44" s="7">
        <f>IF($J$48="ERRO","ERRO",IF($J$48=0,0,I44/$J$48))</f>
        <v>0</v>
      </c>
    </row>
    <row r="45" spans="2:10" ht="15.75" x14ac:dyDescent="0.25">
      <c r="B45" s="12" t="s">
        <v>29</v>
      </c>
      <c r="C45">
        <f>SUM(EMP_1!C45+EMP_2!C45)</f>
        <v>0</v>
      </c>
      <c r="D45" s="6">
        <f>IF($D$48="ERRO","ERRO",IF($D$48=0,0,C45/$D$48))</f>
        <v>0</v>
      </c>
      <c r="E45">
        <f>SUM(EMP_1!E45+EMP_2!E45)</f>
        <v>0</v>
      </c>
      <c r="F45" s="6">
        <f>IF($F$48="ERRO","ERRO",IF($F$48=0,0,E45/$F$48))</f>
        <v>0</v>
      </c>
      <c r="G45">
        <f>SUM(EMP_1!G45+EMP_2!G45)</f>
        <v>0</v>
      </c>
      <c r="H45" s="6">
        <f>IF($H$48="ERRO","ERRO",IF($H$48=0,0,G45/$H$48))</f>
        <v>0</v>
      </c>
      <c r="I45">
        <f>SUM(EMP_1!I45+EMP_2!I45)</f>
        <v>0</v>
      </c>
      <c r="J45" s="7">
        <f>IF($J$48="ERRO","ERRO",IF($J$48=0,0,I45/$J$48))</f>
        <v>0</v>
      </c>
    </row>
    <row r="46" spans="2:10" ht="15.75" thickBot="1" x14ac:dyDescent="0.3">
      <c r="B46" s="2"/>
      <c r="D46" s="6"/>
      <c r="F46" s="6"/>
      <c r="H46" s="6"/>
      <c r="J46" s="7"/>
    </row>
    <row r="47" spans="2:10" ht="16.5" thickBot="1" x14ac:dyDescent="0.3">
      <c r="B47" s="28" t="s">
        <v>30</v>
      </c>
      <c r="C47" s="29">
        <f>IF(OR(C11+C29+C42-C51-C79-C97-C99-C101&gt;1,C11+C29+C42-C51-C79-C97-C99-C101&lt;-1),"ERRO",C11+C29+C42)</f>
        <v>0</v>
      </c>
      <c r="D47" s="30">
        <f>IF($D$48="ERRO","ERRO",IF($D$48=0,0,C47/$D$48))</f>
        <v>0</v>
      </c>
      <c r="E47" s="29">
        <f>IF(OR(E11+E29+E42-E51-E79-E97-E99-E101&gt;1,E11+E29+E42-E51-E79-E97-E99-E101&lt;-1),"ERRO",E11+E29+E42)</f>
        <v>0</v>
      </c>
      <c r="F47" s="30">
        <f>IF($F$48="ERRO","ERRO",IF($F$48=0,0,E47/$F$48))</f>
        <v>0</v>
      </c>
      <c r="G47" s="29">
        <f>IF(OR(G11+G29+G42-G51-G79-G97-G99-G101&gt;1,G11+G29+G42-G51-G79-G97-G99-G101&lt;-1),"ERRO",G11+G29+G42)</f>
        <v>0</v>
      </c>
      <c r="H47" s="30">
        <f>IF($H$48="ERRO","ERRO",IF($H$48=0,0,G47/$H$48))</f>
        <v>0</v>
      </c>
      <c r="I47" s="29">
        <f>IF(OR(I11+I29+I42-I51-I79-I97-I99-I101&gt;1,I11+I29+I42-I51-I79-I97-I99-I101&lt;-1),"ERRO",I11+I29+I42)</f>
        <v>0</v>
      </c>
      <c r="J47" s="31">
        <f>IF($J$48="ERRO","ERRO",IF($J$48=0,0,I47/$J$48))</f>
        <v>0</v>
      </c>
    </row>
    <row r="48" spans="2:10" x14ac:dyDescent="0.25">
      <c r="B48" s="23"/>
      <c r="C48" s="24"/>
      <c r="D48" s="24"/>
      <c r="E48" s="24"/>
      <c r="F48" s="24"/>
      <c r="G48" s="24"/>
      <c r="H48" s="24"/>
      <c r="I48" s="24"/>
      <c r="J48" s="25"/>
    </row>
    <row r="49" spans="2:10" ht="15.75" x14ac:dyDescent="0.25">
      <c r="B49" s="11" t="s">
        <v>31</v>
      </c>
      <c r="C49" s="26" t="s">
        <v>6</v>
      </c>
      <c r="D49" s="26" t="s">
        <v>93</v>
      </c>
      <c r="E49" s="26" t="s">
        <v>6</v>
      </c>
      <c r="F49" s="26" t="s">
        <v>93</v>
      </c>
      <c r="G49" s="26" t="s">
        <v>6</v>
      </c>
      <c r="H49" s="26" t="s">
        <v>93</v>
      </c>
      <c r="I49" s="26" t="s">
        <v>6</v>
      </c>
      <c r="J49" s="27" t="s">
        <v>93</v>
      </c>
    </row>
    <row r="50" spans="2:10" x14ac:dyDescent="0.25">
      <c r="B50" s="2"/>
      <c r="J50" s="3"/>
    </row>
    <row r="51" spans="2:10" ht="15.75" x14ac:dyDescent="0.25">
      <c r="B51" s="10" t="s">
        <v>7</v>
      </c>
      <c r="C51" s="24">
        <f>SUM(C52:C77)</f>
        <v>0</v>
      </c>
      <c r="D51" s="6">
        <f>IF($D$48="ERRO","ERRO",IF($D$48=0,0,C51/$D$48))</f>
        <v>0</v>
      </c>
      <c r="E51" s="24">
        <f>SUM(E52:E77)</f>
        <v>0</v>
      </c>
      <c r="F51" s="6">
        <f t="shared" ref="F51:F77" si="8">IF($F$48="ERRO","ERRO",IF($F$48=0,0,E51/$F$48))</f>
        <v>0</v>
      </c>
      <c r="G51" s="24">
        <f>SUM(G52:G77)</f>
        <v>0</v>
      </c>
      <c r="H51" s="6">
        <f t="shared" ref="H51:H77" si="9">IF($H$48="ERRO","ERRO",IF($H$48=0,0,G51/$H$48))</f>
        <v>0</v>
      </c>
      <c r="I51" s="24">
        <f>SUM(I52:I77)</f>
        <v>0</v>
      </c>
      <c r="J51" s="7">
        <f t="shared" ref="J51:J104" si="10">IF($J$48="ERRO","ERRO",IF($J$48=0,0,I51/$J$48))</f>
        <v>0</v>
      </c>
    </row>
    <row r="52" spans="2:10" ht="15.75" x14ac:dyDescent="0.25">
      <c r="B52" s="9" t="s">
        <v>32</v>
      </c>
      <c r="C52">
        <f>SUM(EMP_1!C52+EMP_2!C52)</f>
        <v>0</v>
      </c>
      <c r="D52" s="6">
        <f t="shared" ref="D52:D104" si="11">IF($D$48="ERRO","ERRO",IF($D$48=0,0,C52/$D$48))</f>
        <v>0</v>
      </c>
      <c r="E52">
        <f>SUM(EMP_1!E52+EMP_2!E52)</f>
        <v>0</v>
      </c>
      <c r="F52" s="6">
        <f t="shared" si="8"/>
        <v>0</v>
      </c>
      <c r="G52">
        <f>SUM(EMP_1!G52+EMP_2!G52)</f>
        <v>0</v>
      </c>
      <c r="H52" s="6">
        <f t="shared" si="9"/>
        <v>0</v>
      </c>
      <c r="I52">
        <f>SUM(EMP_1!I52+EMP_2!I52)</f>
        <v>0</v>
      </c>
      <c r="J52" s="7">
        <f t="shared" si="10"/>
        <v>0</v>
      </c>
    </row>
    <row r="53" spans="2:10" ht="15.75" x14ac:dyDescent="0.25">
      <c r="B53" s="9" t="s">
        <v>33</v>
      </c>
      <c r="C53">
        <f>SUM(EMP_1!C53+EMP_2!C53)</f>
        <v>0</v>
      </c>
      <c r="D53" s="6">
        <f t="shared" si="11"/>
        <v>0</v>
      </c>
      <c r="E53">
        <f>SUM(EMP_1!E53+EMP_2!E53)</f>
        <v>0</v>
      </c>
      <c r="F53" s="6">
        <f t="shared" si="8"/>
        <v>0</v>
      </c>
      <c r="G53">
        <f>SUM(EMP_1!G53+EMP_2!G53)</f>
        <v>0</v>
      </c>
      <c r="H53" s="6">
        <f t="shared" si="9"/>
        <v>0</v>
      </c>
      <c r="I53">
        <f>SUM(EMP_1!I53+EMP_2!I53)</f>
        <v>0</v>
      </c>
      <c r="J53" s="7">
        <f t="shared" si="10"/>
        <v>0</v>
      </c>
    </row>
    <row r="54" spans="2:10" ht="15.75" x14ac:dyDescent="0.25">
      <c r="B54" s="9" t="s">
        <v>34</v>
      </c>
      <c r="C54">
        <f>SUM(EMP_1!C54+EMP_2!C54)</f>
        <v>0</v>
      </c>
      <c r="D54" s="6">
        <f t="shared" si="11"/>
        <v>0</v>
      </c>
      <c r="E54">
        <f>SUM(EMP_1!E54+EMP_2!E54)</f>
        <v>0</v>
      </c>
      <c r="F54" s="6">
        <f t="shared" si="8"/>
        <v>0</v>
      </c>
      <c r="G54">
        <f>SUM(EMP_1!G54+EMP_2!G54)</f>
        <v>0</v>
      </c>
      <c r="H54" s="6">
        <f t="shared" si="9"/>
        <v>0</v>
      </c>
      <c r="I54">
        <f>SUM(EMP_1!I54+EMP_2!I54)</f>
        <v>0</v>
      </c>
      <c r="J54" s="7">
        <f t="shared" si="10"/>
        <v>0</v>
      </c>
    </row>
    <row r="55" spans="2:10" ht="15.75" x14ac:dyDescent="0.25">
      <c r="B55" s="8" t="s">
        <v>35</v>
      </c>
      <c r="C55">
        <f>SUM(EMP_1!C55+EMP_2!C55)</f>
        <v>0</v>
      </c>
      <c r="D55" s="6">
        <f t="shared" si="11"/>
        <v>0</v>
      </c>
      <c r="E55">
        <f>SUM(EMP_1!E55+EMP_2!E55)</f>
        <v>0</v>
      </c>
      <c r="F55" s="6">
        <f t="shared" si="8"/>
        <v>0</v>
      </c>
      <c r="G55">
        <f>SUM(EMP_1!G55+EMP_2!G55)</f>
        <v>0</v>
      </c>
      <c r="H55" s="6">
        <f t="shared" si="9"/>
        <v>0</v>
      </c>
      <c r="I55">
        <f>SUM(EMP_1!I55+EMP_2!I55)</f>
        <v>0</v>
      </c>
      <c r="J55" s="7">
        <f t="shared" si="10"/>
        <v>0</v>
      </c>
    </row>
    <row r="56" spans="2:10" ht="15.75" x14ac:dyDescent="0.25">
      <c r="B56" s="8" t="s">
        <v>36</v>
      </c>
      <c r="C56">
        <f>SUM(EMP_1!C56+EMP_2!C56)</f>
        <v>0</v>
      </c>
      <c r="D56" s="6">
        <f t="shared" si="11"/>
        <v>0</v>
      </c>
      <c r="E56">
        <f>SUM(EMP_1!E56+EMP_2!E56)</f>
        <v>0</v>
      </c>
      <c r="F56" s="6">
        <f t="shared" si="8"/>
        <v>0</v>
      </c>
      <c r="G56">
        <f>SUM(EMP_1!G56+EMP_2!G56)</f>
        <v>0</v>
      </c>
      <c r="H56" s="6">
        <f t="shared" si="9"/>
        <v>0</v>
      </c>
      <c r="I56">
        <f>SUM(EMP_1!I56+EMP_2!I56)</f>
        <v>0</v>
      </c>
      <c r="J56" s="7">
        <f t="shared" si="10"/>
        <v>0</v>
      </c>
    </row>
    <row r="57" spans="2:10" ht="15.75" x14ac:dyDescent="0.25">
      <c r="B57" s="8" t="s">
        <v>37</v>
      </c>
      <c r="C57">
        <f>SUM(EMP_1!C57+EMP_2!C57)</f>
        <v>0</v>
      </c>
      <c r="D57" s="6">
        <f t="shared" si="11"/>
        <v>0</v>
      </c>
      <c r="E57">
        <f>SUM(EMP_1!E57+EMP_2!E57)</f>
        <v>0</v>
      </c>
      <c r="F57" s="6">
        <f t="shared" si="8"/>
        <v>0</v>
      </c>
      <c r="G57">
        <f>SUM(EMP_1!G57+EMP_2!G57)</f>
        <v>0</v>
      </c>
      <c r="H57" s="6">
        <f t="shared" si="9"/>
        <v>0</v>
      </c>
      <c r="I57">
        <f>SUM(EMP_1!I57+EMP_2!I57)</f>
        <v>0</v>
      </c>
      <c r="J57" s="7">
        <f t="shared" si="10"/>
        <v>0</v>
      </c>
    </row>
    <row r="58" spans="2:10" ht="15.75" x14ac:dyDescent="0.25">
      <c r="B58" s="8" t="s">
        <v>38</v>
      </c>
      <c r="C58">
        <f>SUM(EMP_1!C58+EMP_2!C58)</f>
        <v>0</v>
      </c>
      <c r="D58" s="6">
        <f t="shared" si="11"/>
        <v>0</v>
      </c>
      <c r="E58">
        <f>SUM(EMP_1!E58+EMP_2!E58)</f>
        <v>0</v>
      </c>
      <c r="F58" s="6">
        <f t="shared" si="8"/>
        <v>0</v>
      </c>
      <c r="G58">
        <f>SUM(EMP_1!G58+EMP_2!G58)</f>
        <v>0</v>
      </c>
      <c r="H58" s="6">
        <f t="shared" si="9"/>
        <v>0</v>
      </c>
      <c r="I58">
        <f>SUM(EMP_1!I58+EMP_2!I58)</f>
        <v>0</v>
      </c>
      <c r="J58" s="7">
        <f t="shared" si="10"/>
        <v>0</v>
      </c>
    </row>
    <row r="59" spans="2:10" ht="15.75" x14ac:dyDescent="0.25">
      <c r="B59" s="8" t="s">
        <v>39</v>
      </c>
      <c r="C59">
        <f>SUM(EMP_1!C59+EMP_2!C59)</f>
        <v>0</v>
      </c>
      <c r="D59" s="6">
        <f t="shared" si="11"/>
        <v>0</v>
      </c>
      <c r="E59">
        <f>SUM(EMP_1!E59+EMP_2!E59)</f>
        <v>0</v>
      </c>
      <c r="F59" s="6">
        <f t="shared" si="8"/>
        <v>0</v>
      </c>
      <c r="G59">
        <f>SUM(EMP_1!G59+EMP_2!G59)</f>
        <v>0</v>
      </c>
      <c r="H59" s="6">
        <f t="shared" si="9"/>
        <v>0</v>
      </c>
      <c r="I59">
        <f>SUM(EMP_1!I59+EMP_2!I59)</f>
        <v>0</v>
      </c>
      <c r="J59" s="7">
        <f t="shared" si="10"/>
        <v>0</v>
      </c>
    </row>
    <row r="60" spans="2:10" ht="15.75" x14ac:dyDescent="0.25">
      <c r="B60" s="8" t="s">
        <v>40</v>
      </c>
      <c r="C60">
        <f>SUM(EMP_1!C60+EMP_2!C60)</f>
        <v>0</v>
      </c>
      <c r="D60" s="6">
        <f t="shared" si="11"/>
        <v>0</v>
      </c>
      <c r="E60">
        <f>SUM(EMP_1!E60+EMP_2!E60)</f>
        <v>0</v>
      </c>
      <c r="F60" s="6">
        <f t="shared" si="8"/>
        <v>0</v>
      </c>
      <c r="G60">
        <f>SUM(EMP_1!G60+EMP_2!G60)</f>
        <v>0</v>
      </c>
      <c r="H60" s="6">
        <f t="shared" si="9"/>
        <v>0</v>
      </c>
      <c r="I60">
        <f>SUM(EMP_1!I60+EMP_2!I60)</f>
        <v>0</v>
      </c>
      <c r="J60" s="7">
        <f t="shared" si="10"/>
        <v>0</v>
      </c>
    </row>
    <row r="61" spans="2:10" ht="15.75" x14ac:dyDescent="0.25">
      <c r="B61" s="8" t="s">
        <v>41</v>
      </c>
      <c r="C61">
        <f>SUM(EMP_1!C61+EMP_2!C61)</f>
        <v>0</v>
      </c>
      <c r="D61" s="6">
        <f t="shared" si="11"/>
        <v>0</v>
      </c>
      <c r="E61">
        <f>SUM(EMP_1!E61+EMP_2!E61)</f>
        <v>0</v>
      </c>
      <c r="F61" s="6">
        <f t="shared" si="8"/>
        <v>0</v>
      </c>
      <c r="G61">
        <f>SUM(EMP_1!G61+EMP_2!G61)</f>
        <v>0</v>
      </c>
      <c r="H61" s="6">
        <f t="shared" si="9"/>
        <v>0</v>
      </c>
      <c r="I61">
        <f>SUM(EMP_1!I61+EMP_2!I61)</f>
        <v>0</v>
      </c>
      <c r="J61" s="7">
        <f t="shared" si="10"/>
        <v>0</v>
      </c>
    </row>
    <row r="62" spans="2:10" ht="15.75" x14ac:dyDescent="0.25">
      <c r="B62" s="8" t="s">
        <v>42</v>
      </c>
      <c r="C62">
        <f>SUM(EMP_1!C62+EMP_2!C62)</f>
        <v>0</v>
      </c>
      <c r="D62" s="6">
        <f t="shared" si="11"/>
        <v>0</v>
      </c>
      <c r="E62">
        <f>SUM(EMP_1!E62+EMP_2!E62)</f>
        <v>0</v>
      </c>
      <c r="F62" s="6">
        <f t="shared" si="8"/>
        <v>0</v>
      </c>
      <c r="G62">
        <f>SUM(EMP_1!G62+EMP_2!G62)</f>
        <v>0</v>
      </c>
      <c r="H62" s="6">
        <f t="shared" si="9"/>
        <v>0</v>
      </c>
      <c r="I62">
        <f>SUM(EMP_1!I62+EMP_2!I62)</f>
        <v>0</v>
      </c>
      <c r="J62" s="7">
        <f t="shared" si="10"/>
        <v>0</v>
      </c>
    </row>
    <row r="63" spans="2:10" ht="15.75" x14ac:dyDescent="0.25">
      <c r="B63" s="8" t="s">
        <v>43</v>
      </c>
      <c r="C63">
        <f>SUM(EMP_1!C63+EMP_2!C63)</f>
        <v>0</v>
      </c>
      <c r="D63" s="6">
        <f t="shared" si="11"/>
        <v>0</v>
      </c>
      <c r="E63">
        <f>SUM(EMP_1!E63+EMP_2!E63)</f>
        <v>0</v>
      </c>
      <c r="F63" s="6">
        <f t="shared" si="8"/>
        <v>0</v>
      </c>
      <c r="G63">
        <f>SUM(EMP_1!G63+EMP_2!G63)</f>
        <v>0</v>
      </c>
      <c r="H63" s="6">
        <f t="shared" si="9"/>
        <v>0</v>
      </c>
      <c r="I63">
        <f>SUM(EMP_1!I63+EMP_2!I63)</f>
        <v>0</v>
      </c>
      <c r="J63" s="7">
        <f t="shared" si="10"/>
        <v>0</v>
      </c>
    </row>
    <row r="64" spans="2:10" ht="15.75" x14ac:dyDescent="0.25">
      <c r="B64" s="8" t="s">
        <v>44</v>
      </c>
      <c r="C64">
        <f>SUM(EMP_1!C64+EMP_2!C64)</f>
        <v>0</v>
      </c>
      <c r="D64" s="6">
        <f t="shared" si="11"/>
        <v>0</v>
      </c>
      <c r="E64">
        <f>SUM(EMP_1!E64+EMP_2!E64)</f>
        <v>0</v>
      </c>
      <c r="F64" s="6">
        <f t="shared" si="8"/>
        <v>0</v>
      </c>
      <c r="G64">
        <f>SUM(EMP_1!G64+EMP_2!G64)</f>
        <v>0</v>
      </c>
      <c r="H64" s="6">
        <f t="shared" si="9"/>
        <v>0</v>
      </c>
      <c r="I64">
        <f>SUM(EMP_1!I64+EMP_2!I64)</f>
        <v>0</v>
      </c>
      <c r="J64" s="7">
        <f t="shared" si="10"/>
        <v>0</v>
      </c>
    </row>
    <row r="65" spans="2:10" ht="15.75" x14ac:dyDescent="0.25">
      <c r="B65" s="8" t="s">
        <v>45</v>
      </c>
      <c r="C65">
        <f>SUM(EMP_1!C65+EMP_2!C65)</f>
        <v>0</v>
      </c>
      <c r="D65" s="6">
        <f t="shared" si="11"/>
        <v>0</v>
      </c>
      <c r="E65">
        <f>SUM(EMP_1!E65+EMP_2!E65)</f>
        <v>0</v>
      </c>
      <c r="F65" s="6">
        <f t="shared" si="8"/>
        <v>0</v>
      </c>
      <c r="G65">
        <f>SUM(EMP_1!G65+EMP_2!G65)</f>
        <v>0</v>
      </c>
      <c r="H65" s="6">
        <f t="shared" si="9"/>
        <v>0</v>
      </c>
      <c r="I65">
        <f>SUM(EMP_1!I65+EMP_2!I65)</f>
        <v>0</v>
      </c>
      <c r="J65" s="7">
        <f t="shared" si="10"/>
        <v>0</v>
      </c>
    </row>
    <row r="66" spans="2:10" ht="15.75" x14ac:dyDescent="0.25">
      <c r="B66" s="8" t="s">
        <v>46</v>
      </c>
      <c r="C66">
        <f>SUM(EMP_1!C66+EMP_2!C66)</f>
        <v>0</v>
      </c>
      <c r="D66" s="6">
        <f t="shared" si="11"/>
        <v>0</v>
      </c>
      <c r="E66">
        <f>SUM(EMP_1!E66+EMP_2!E66)</f>
        <v>0</v>
      </c>
      <c r="F66" s="6">
        <f t="shared" si="8"/>
        <v>0</v>
      </c>
      <c r="G66">
        <f>SUM(EMP_1!G66+EMP_2!G66)</f>
        <v>0</v>
      </c>
      <c r="H66" s="6">
        <f t="shared" si="9"/>
        <v>0</v>
      </c>
      <c r="I66">
        <f>SUM(EMP_1!I66+EMP_2!I66)</f>
        <v>0</v>
      </c>
      <c r="J66" s="7">
        <f t="shared" si="10"/>
        <v>0</v>
      </c>
    </row>
    <row r="67" spans="2:10" ht="15.75" x14ac:dyDescent="0.25">
      <c r="B67" s="8" t="s">
        <v>47</v>
      </c>
      <c r="C67">
        <f>SUM(EMP_1!C67+EMP_2!C67)</f>
        <v>0</v>
      </c>
      <c r="D67" s="6">
        <f t="shared" si="11"/>
        <v>0</v>
      </c>
      <c r="E67">
        <f>SUM(EMP_1!E67+EMP_2!E67)</f>
        <v>0</v>
      </c>
      <c r="F67" s="6">
        <f t="shared" si="8"/>
        <v>0</v>
      </c>
      <c r="G67">
        <f>SUM(EMP_1!G67+EMP_2!G67)</f>
        <v>0</v>
      </c>
      <c r="H67" s="6">
        <f t="shared" si="9"/>
        <v>0</v>
      </c>
      <c r="I67">
        <f>SUM(EMP_1!I67+EMP_2!I67)</f>
        <v>0</v>
      </c>
      <c r="J67" s="7">
        <f t="shared" si="10"/>
        <v>0</v>
      </c>
    </row>
    <row r="68" spans="2:10" ht="15.75" x14ac:dyDescent="0.25">
      <c r="B68" s="8" t="s">
        <v>48</v>
      </c>
      <c r="C68">
        <f>SUM(EMP_1!C68+EMP_2!C68)</f>
        <v>0</v>
      </c>
      <c r="D68" s="6">
        <f t="shared" si="11"/>
        <v>0</v>
      </c>
      <c r="E68">
        <f>SUM(EMP_1!E68+EMP_2!E68)</f>
        <v>0</v>
      </c>
      <c r="F68" s="6">
        <f t="shared" si="8"/>
        <v>0</v>
      </c>
      <c r="G68">
        <f>SUM(EMP_1!G68+EMP_2!G68)</f>
        <v>0</v>
      </c>
      <c r="H68" s="6">
        <f t="shared" si="9"/>
        <v>0</v>
      </c>
      <c r="I68">
        <f>SUM(EMP_1!I68+EMP_2!I68)</f>
        <v>0</v>
      </c>
      <c r="J68" s="7">
        <f t="shared" si="10"/>
        <v>0</v>
      </c>
    </row>
    <row r="69" spans="2:10" ht="15.75" x14ac:dyDescent="0.25">
      <c r="B69" s="8" t="s">
        <v>49</v>
      </c>
      <c r="C69">
        <f>SUM(EMP_1!C69+EMP_2!C69)</f>
        <v>0</v>
      </c>
      <c r="D69" s="6">
        <f t="shared" si="11"/>
        <v>0</v>
      </c>
      <c r="E69">
        <f>SUM(EMP_1!E69+EMP_2!E69)</f>
        <v>0</v>
      </c>
      <c r="F69" s="6">
        <f t="shared" si="8"/>
        <v>0</v>
      </c>
      <c r="G69">
        <f>SUM(EMP_1!G69+EMP_2!G69)</f>
        <v>0</v>
      </c>
      <c r="H69" s="6">
        <f t="shared" si="9"/>
        <v>0</v>
      </c>
      <c r="I69">
        <f>SUM(EMP_1!I69+EMP_2!I69)</f>
        <v>0</v>
      </c>
      <c r="J69" s="7">
        <f t="shared" si="10"/>
        <v>0</v>
      </c>
    </row>
    <row r="70" spans="2:10" ht="15.75" x14ac:dyDescent="0.25">
      <c r="B70" s="9" t="s">
        <v>50</v>
      </c>
      <c r="C70">
        <f>SUM(EMP_1!C70+EMP_2!C70)</f>
        <v>0</v>
      </c>
      <c r="D70" s="6">
        <f t="shared" si="11"/>
        <v>0</v>
      </c>
      <c r="E70">
        <f>SUM(EMP_1!E70+EMP_2!E70)</f>
        <v>0</v>
      </c>
      <c r="F70" s="6">
        <f t="shared" si="8"/>
        <v>0</v>
      </c>
      <c r="G70">
        <f>SUM(EMP_1!G70+EMP_2!G70)</f>
        <v>0</v>
      </c>
      <c r="H70" s="6">
        <f t="shared" si="9"/>
        <v>0</v>
      </c>
      <c r="I70">
        <f>SUM(EMP_1!I70+EMP_2!I70)</f>
        <v>0</v>
      </c>
      <c r="J70" s="7">
        <f t="shared" si="10"/>
        <v>0</v>
      </c>
    </row>
    <row r="71" spans="2:10" ht="15.75" x14ac:dyDescent="0.25">
      <c r="B71" s="9" t="s">
        <v>51</v>
      </c>
      <c r="C71">
        <f>SUM(EMP_1!C71+EMP_2!C71)</f>
        <v>0</v>
      </c>
      <c r="D71" s="6">
        <f t="shared" si="11"/>
        <v>0</v>
      </c>
      <c r="E71">
        <f>SUM(EMP_1!E71+EMP_2!E71)</f>
        <v>0</v>
      </c>
      <c r="F71" s="6">
        <f t="shared" si="8"/>
        <v>0</v>
      </c>
      <c r="G71">
        <f>SUM(EMP_1!G71+EMP_2!G71)</f>
        <v>0</v>
      </c>
      <c r="H71" s="6">
        <f t="shared" si="9"/>
        <v>0</v>
      </c>
      <c r="I71">
        <f>SUM(EMP_1!I71+EMP_2!I71)</f>
        <v>0</v>
      </c>
      <c r="J71" s="7">
        <f t="shared" si="10"/>
        <v>0</v>
      </c>
    </row>
    <row r="72" spans="2:10" ht="15.75" x14ac:dyDescent="0.25">
      <c r="B72" s="9" t="s">
        <v>52</v>
      </c>
      <c r="C72">
        <f>SUM(EMP_1!C72+EMP_2!C72)</f>
        <v>0</v>
      </c>
      <c r="D72" s="6">
        <f t="shared" si="11"/>
        <v>0</v>
      </c>
      <c r="E72">
        <f>SUM(EMP_1!E72+EMP_2!E72)</f>
        <v>0</v>
      </c>
      <c r="F72" s="6">
        <f t="shared" si="8"/>
        <v>0</v>
      </c>
      <c r="G72">
        <f>SUM(EMP_1!G72+EMP_2!G72)</f>
        <v>0</v>
      </c>
      <c r="H72" s="6">
        <f t="shared" si="9"/>
        <v>0</v>
      </c>
      <c r="I72">
        <f>SUM(EMP_1!I72+EMP_2!I72)</f>
        <v>0</v>
      </c>
      <c r="J72" s="7">
        <f t="shared" si="10"/>
        <v>0</v>
      </c>
    </row>
    <row r="73" spans="2:10" ht="15.75" x14ac:dyDescent="0.25">
      <c r="B73" s="9" t="s">
        <v>23</v>
      </c>
      <c r="C73">
        <f>SUM(EMP_1!C73+EMP_2!C73)</f>
        <v>0</v>
      </c>
      <c r="D73" s="6">
        <f t="shared" si="11"/>
        <v>0</v>
      </c>
      <c r="E73">
        <f>SUM(EMP_1!E73+EMP_2!E73)</f>
        <v>0</v>
      </c>
      <c r="F73" s="6">
        <f t="shared" si="8"/>
        <v>0</v>
      </c>
      <c r="G73">
        <f>SUM(EMP_1!G73+EMP_2!G73)</f>
        <v>0</v>
      </c>
      <c r="H73" s="6">
        <f t="shared" si="9"/>
        <v>0</v>
      </c>
      <c r="I73">
        <f>SUM(EMP_1!I73+EMP_2!I73)</f>
        <v>0</v>
      </c>
      <c r="J73" s="7">
        <f t="shared" si="10"/>
        <v>0</v>
      </c>
    </row>
    <row r="74" spans="2:10" ht="15.75" x14ac:dyDescent="0.25">
      <c r="B74" s="9" t="s">
        <v>20</v>
      </c>
      <c r="C74">
        <f>SUM(EMP_1!C74+EMP_2!C74)</f>
        <v>0</v>
      </c>
      <c r="D74" s="6">
        <f t="shared" si="11"/>
        <v>0</v>
      </c>
      <c r="E74">
        <f>SUM(EMP_1!E74+EMP_2!E74)</f>
        <v>0</v>
      </c>
      <c r="F74" s="6">
        <f t="shared" si="8"/>
        <v>0</v>
      </c>
      <c r="G74">
        <f>SUM(EMP_1!G74+EMP_2!G74)</f>
        <v>0</v>
      </c>
      <c r="H74" s="6">
        <f t="shared" si="9"/>
        <v>0</v>
      </c>
      <c r="I74">
        <f>SUM(EMP_1!I74+EMP_2!I74)</f>
        <v>0</v>
      </c>
      <c r="J74" s="7">
        <f t="shared" si="10"/>
        <v>0</v>
      </c>
    </row>
    <row r="75" spans="2:10" ht="15.75" x14ac:dyDescent="0.25">
      <c r="B75" s="9" t="s">
        <v>20</v>
      </c>
      <c r="C75">
        <f>SUM(EMP_1!C75+EMP_2!C75)</f>
        <v>0</v>
      </c>
      <c r="D75" s="6">
        <f t="shared" si="11"/>
        <v>0</v>
      </c>
      <c r="E75">
        <f>SUM(EMP_1!E75+EMP_2!E75)</f>
        <v>0</v>
      </c>
      <c r="F75" s="6">
        <f t="shared" si="8"/>
        <v>0</v>
      </c>
      <c r="G75">
        <f>SUM(EMP_1!G75+EMP_2!G75)</f>
        <v>0</v>
      </c>
      <c r="H75" s="6">
        <f t="shared" si="9"/>
        <v>0</v>
      </c>
      <c r="I75">
        <f>SUM(EMP_1!I75+EMP_2!I75)</f>
        <v>0</v>
      </c>
      <c r="J75" s="7">
        <f t="shared" si="10"/>
        <v>0</v>
      </c>
    </row>
    <row r="76" spans="2:10" ht="15.75" x14ac:dyDescent="0.25">
      <c r="B76" s="9" t="s">
        <v>21</v>
      </c>
      <c r="C76">
        <f>SUM(EMP_1!C76+EMP_2!C76)</f>
        <v>0</v>
      </c>
      <c r="D76" s="6">
        <f t="shared" si="11"/>
        <v>0</v>
      </c>
      <c r="E76">
        <f>SUM(EMP_1!E76+EMP_2!E76)</f>
        <v>0</v>
      </c>
      <c r="F76" s="6">
        <f t="shared" si="8"/>
        <v>0</v>
      </c>
      <c r="G76">
        <f>SUM(EMP_1!G76+EMP_2!G76)</f>
        <v>0</v>
      </c>
      <c r="H76" s="6">
        <f t="shared" si="9"/>
        <v>0</v>
      </c>
      <c r="I76">
        <f>SUM(EMP_1!I76+EMP_2!I76)</f>
        <v>0</v>
      </c>
      <c r="J76" s="7">
        <f t="shared" si="10"/>
        <v>0</v>
      </c>
    </row>
    <row r="77" spans="2:10" ht="15.75" x14ac:dyDescent="0.25">
      <c r="B77" s="9" t="s">
        <v>21</v>
      </c>
      <c r="C77">
        <f>SUM(EMP_1!C77+EMP_2!C77)</f>
        <v>0</v>
      </c>
      <c r="D77" s="6">
        <f t="shared" si="11"/>
        <v>0</v>
      </c>
      <c r="E77">
        <f>SUM(EMP_1!E77+EMP_2!E77)</f>
        <v>0</v>
      </c>
      <c r="F77" s="6">
        <f t="shared" si="8"/>
        <v>0</v>
      </c>
      <c r="G77">
        <f>SUM(EMP_1!G77+EMP_2!G77)</f>
        <v>0</v>
      </c>
      <c r="H77" s="6">
        <f t="shared" si="9"/>
        <v>0</v>
      </c>
      <c r="I77">
        <f>SUM(EMP_1!I77+EMP_2!I77)</f>
        <v>0</v>
      </c>
      <c r="J77" s="7">
        <f t="shared" si="10"/>
        <v>0</v>
      </c>
    </row>
    <row r="78" spans="2:10" ht="15.75" x14ac:dyDescent="0.25">
      <c r="B78" s="8"/>
      <c r="J78" s="3"/>
    </row>
    <row r="79" spans="2:10" ht="15.75" x14ac:dyDescent="0.25">
      <c r="B79" s="10" t="s">
        <v>53</v>
      </c>
      <c r="C79" s="24">
        <f>SUM(C80:C95)</f>
        <v>0</v>
      </c>
      <c r="D79" s="6">
        <f t="shared" si="11"/>
        <v>0</v>
      </c>
      <c r="E79" s="24">
        <f>SUM(E80:E95)</f>
        <v>0</v>
      </c>
      <c r="F79" s="6">
        <f t="shared" ref="F79:F95" si="12">IF($F$48="ERRO","ERRO",IF($F$48=0,0,E79/$F$48))</f>
        <v>0</v>
      </c>
      <c r="G79" s="24">
        <f>SUM(G80:G95)</f>
        <v>0</v>
      </c>
      <c r="H79" s="6">
        <f t="shared" ref="H79:H95" si="13">IF($H$48="ERRO","ERRO",IF($H$48=0,0,G79/$H$48))</f>
        <v>0</v>
      </c>
      <c r="I79" s="24">
        <f>SUM(I80:I95)</f>
        <v>0</v>
      </c>
      <c r="J79" s="7">
        <f t="shared" si="10"/>
        <v>0</v>
      </c>
    </row>
    <row r="80" spans="2:10" ht="15.75" x14ac:dyDescent="0.25">
      <c r="B80" s="9" t="s">
        <v>54</v>
      </c>
      <c r="C80">
        <f>SUM(EMP_1!C80+EMP_2!C80)</f>
        <v>0</v>
      </c>
      <c r="D80" s="6">
        <f t="shared" si="11"/>
        <v>0</v>
      </c>
      <c r="E80">
        <f>SUM(EMP_1!E80+EMP_2!E80)</f>
        <v>0</v>
      </c>
      <c r="F80" s="6">
        <f t="shared" si="12"/>
        <v>0</v>
      </c>
      <c r="G80">
        <f>SUM(EMP_1!G80+EMP_2!G80)</f>
        <v>0</v>
      </c>
      <c r="H80" s="6">
        <f t="shared" si="13"/>
        <v>0</v>
      </c>
      <c r="I80">
        <f>SUM(EMP_1!I80+EMP_2!I80)</f>
        <v>0</v>
      </c>
      <c r="J80" s="7">
        <f t="shared" si="10"/>
        <v>0</v>
      </c>
    </row>
    <row r="81" spans="2:10" ht="15.75" x14ac:dyDescent="0.25">
      <c r="B81" s="9" t="s">
        <v>38</v>
      </c>
      <c r="C81">
        <f>SUM(EMP_1!C81+EMP_2!C81)</f>
        <v>0</v>
      </c>
      <c r="D81" s="6">
        <f t="shared" si="11"/>
        <v>0</v>
      </c>
      <c r="E81">
        <f>SUM(EMP_1!E81+EMP_2!E81)</f>
        <v>0</v>
      </c>
      <c r="F81" s="6">
        <f t="shared" si="12"/>
        <v>0</v>
      </c>
      <c r="G81">
        <f>SUM(EMP_1!G81+EMP_2!G81)</f>
        <v>0</v>
      </c>
      <c r="H81" s="6">
        <f t="shared" si="13"/>
        <v>0</v>
      </c>
      <c r="I81">
        <f>SUM(EMP_1!I81+EMP_2!I81)</f>
        <v>0</v>
      </c>
      <c r="J81" s="7">
        <f t="shared" si="10"/>
        <v>0</v>
      </c>
    </row>
    <row r="82" spans="2:10" ht="15.75" x14ac:dyDescent="0.25">
      <c r="B82" s="9" t="s">
        <v>41</v>
      </c>
      <c r="C82">
        <f>SUM(EMP_1!C82+EMP_2!C82)</f>
        <v>0</v>
      </c>
      <c r="D82" s="6">
        <f t="shared" si="11"/>
        <v>0</v>
      </c>
      <c r="E82">
        <f>SUM(EMP_1!E82+EMP_2!E82)</f>
        <v>0</v>
      </c>
      <c r="F82" s="6">
        <f t="shared" si="12"/>
        <v>0</v>
      </c>
      <c r="G82">
        <f>SUM(EMP_1!G82+EMP_2!G82)</f>
        <v>0</v>
      </c>
      <c r="H82" s="6">
        <f t="shared" si="13"/>
        <v>0</v>
      </c>
      <c r="I82">
        <f>SUM(EMP_1!I82+EMP_2!I82)</f>
        <v>0</v>
      </c>
      <c r="J82" s="7">
        <f t="shared" si="10"/>
        <v>0</v>
      </c>
    </row>
    <row r="83" spans="2:10" ht="15.75" x14ac:dyDescent="0.25">
      <c r="B83" s="8" t="s">
        <v>36</v>
      </c>
      <c r="C83">
        <f>SUM(EMP_1!C83+EMP_2!C83)</f>
        <v>0</v>
      </c>
      <c r="D83" s="6">
        <f t="shared" si="11"/>
        <v>0</v>
      </c>
      <c r="E83">
        <f>SUM(EMP_1!E83+EMP_2!E83)</f>
        <v>0</v>
      </c>
      <c r="F83" s="6">
        <f t="shared" si="12"/>
        <v>0</v>
      </c>
      <c r="G83">
        <f>SUM(EMP_1!G83+EMP_2!G83)</f>
        <v>0</v>
      </c>
      <c r="H83" s="6">
        <f t="shared" si="13"/>
        <v>0</v>
      </c>
      <c r="I83">
        <f>SUM(EMP_1!I83+EMP_2!I83)</f>
        <v>0</v>
      </c>
      <c r="J83" s="7">
        <f t="shared" si="10"/>
        <v>0</v>
      </c>
    </row>
    <row r="84" spans="2:10" ht="15.75" x14ac:dyDescent="0.25">
      <c r="B84" s="8" t="s">
        <v>40</v>
      </c>
      <c r="C84">
        <f>SUM(EMP_1!C84+EMP_2!C84)</f>
        <v>0</v>
      </c>
      <c r="D84" s="6">
        <f t="shared" si="11"/>
        <v>0</v>
      </c>
      <c r="E84">
        <f>SUM(EMP_1!E84+EMP_2!E84)</f>
        <v>0</v>
      </c>
      <c r="F84" s="6">
        <f t="shared" si="12"/>
        <v>0</v>
      </c>
      <c r="G84">
        <f>SUM(EMP_1!G84+EMP_2!G84)</f>
        <v>0</v>
      </c>
      <c r="H84" s="6">
        <f t="shared" si="13"/>
        <v>0</v>
      </c>
      <c r="I84">
        <f>SUM(EMP_1!I84+EMP_2!I84)</f>
        <v>0</v>
      </c>
      <c r="J84" s="7">
        <f t="shared" si="10"/>
        <v>0</v>
      </c>
    </row>
    <row r="85" spans="2:10" ht="15.75" x14ac:dyDescent="0.25">
      <c r="B85" s="8" t="s">
        <v>46</v>
      </c>
      <c r="C85">
        <f>SUM(EMP_1!C85+EMP_2!C85)</f>
        <v>0</v>
      </c>
      <c r="D85" s="6">
        <f t="shared" si="11"/>
        <v>0</v>
      </c>
      <c r="E85">
        <f>SUM(EMP_1!E85+EMP_2!E85)</f>
        <v>0</v>
      </c>
      <c r="F85" s="6">
        <f t="shared" si="12"/>
        <v>0</v>
      </c>
      <c r="G85">
        <f>SUM(EMP_1!G85+EMP_2!G85)</f>
        <v>0</v>
      </c>
      <c r="H85" s="6">
        <f t="shared" si="13"/>
        <v>0</v>
      </c>
      <c r="I85">
        <f>SUM(EMP_1!I85+EMP_2!I85)</f>
        <v>0</v>
      </c>
      <c r="J85" s="7">
        <f t="shared" si="10"/>
        <v>0</v>
      </c>
    </row>
    <row r="86" spans="2:10" ht="15.75" x14ac:dyDescent="0.25">
      <c r="B86" s="8" t="s">
        <v>47</v>
      </c>
      <c r="C86">
        <f>SUM(EMP_1!C86+EMP_2!C86)</f>
        <v>0</v>
      </c>
      <c r="D86" s="6">
        <f t="shared" si="11"/>
        <v>0</v>
      </c>
      <c r="E86">
        <f>SUM(EMP_1!E86+EMP_2!E86)</f>
        <v>0</v>
      </c>
      <c r="F86" s="6">
        <f t="shared" si="12"/>
        <v>0</v>
      </c>
      <c r="G86">
        <f>SUM(EMP_1!G86+EMP_2!G86)</f>
        <v>0</v>
      </c>
      <c r="H86" s="6">
        <f t="shared" si="13"/>
        <v>0</v>
      </c>
      <c r="I86">
        <f>SUM(EMP_1!I86+EMP_2!I86)</f>
        <v>0</v>
      </c>
      <c r="J86" s="7">
        <f t="shared" si="10"/>
        <v>0</v>
      </c>
    </row>
    <row r="87" spans="2:10" ht="15.75" x14ac:dyDescent="0.25">
      <c r="B87" s="8" t="s">
        <v>48</v>
      </c>
      <c r="C87">
        <f>SUM(EMP_1!C87+EMP_2!C87)</f>
        <v>0</v>
      </c>
      <c r="D87" s="6">
        <f t="shared" si="11"/>
        <v>0</v>
      </c>
      <c r="E87">
        <f>SUM(EMP_1!E87+EMP_2!E87)</f>
        <v>0</v>
      </c>
      <c r="F87" s="6">
        <f t="shared" si="12"/>
        <v>0</v>
      </c>
      <c r="G87">
        <f>SUM(EMP_1!G87+EMP_2!G87)</f>
        <v>0</v>
      </c>
      <c r="H87" s="6">
        <f t="shared" si="13"/>
        <v>0</v>
      </c>
      <c r="I87">
        <f>SUM(EMP_1!I87+EMP_2!I87)</f>
        <v>0</v>
      </c>
      <c r="J87" s="7">
        <f t="shared" si="10"/>
        <v>0</v>
      </c>
    </row>
    <row r="88" spans="2:10" ht="15.75" x14ac:dyDescent="0.25">
      <c r="B88" s="8" t="s">
        <v>49</v>
      </c>
      <c r="C88">
        <f>SUM(EMP_1!C88+EMP_2!C88)</f>
        <v>0</v>
      </c>
      <c r="D88" s="6">
        <f t="shared" si="11"/>
        <v>0</v>
      </c>
      <c r="E88">
        <f>SUM(EMP_1!E88+EMP_2!E88)</f>
        <v>0</v>
      </c>
      <c r="F88" s="6">
        <f t="shared" si="12"/>
        <v>0</v>
      </c>
      <c r="G88">
        <f>SUM(EMP_1!G88+EMP_2!G88)</f>
        <v>0</v>
      </c>
      <c r="H88" s="6">
        <f t="shared" si="13"/>
        <v>0</v>
      </c>
      <c r="I88">
        <f>SUM(EMP_1!I88+EMP_2!I88)</f>
        <v>0</v>
      </c>
      <c r="J88" s="7">
        <f t="shared" si="10"/>
        <v>0</v>
      </c>
    </row>
    <row r="89" spans="2:10" ht="15.75" x14ac:dyDescent="0.25">
      <c r="B89" s="9" t="s">
        <v>50</v>
      </c>
      <c r="C89">
        <f>SUM(EMP_1!C89+EMP_2!C89)</f>
        <v>0</v>
      </c>
      <c r="D89" s="6">
        <f t="shared" si="11"/>
        <v>0</v>
      </c>
      <c r="E89">
        <f>SUM(EMP_1!E89+EMP_2!E89)</f>
        <v>0</v>
      </c>
      <c r="F89" s="6">
        <f t="shared" si="12"/>
        <v>0</v>
      </c>
      <c r="G89">
        <f>SUM(EMP_1!G89+EMP_2!G89)</f>
        <v>0</v>
      </c>
      <c r="H89" s="6">
        <f t="shared" si="13"/>
        <v>0</v>
      </c>
      <c r="I89">
        <f>SUM(EMP_1!I89+EMP_2!I89)</f>
        <v>0</v>
      </c>
      <c r="J89" s="7">
        <f t="shared" si="10"/>
        <v>0</v>
      </c>
    </row>
    <row r="90" spans="2:10" ht="15.75" x14ac:dyDescent="0.25">
      <c r="B90" s="9" t="s">
        <v>51</v>
      </c>
      <c r="C90">
        <f>SUM(EMP_1!C90+EMP_2!C90)</f>
        <v>0</v>
      </c>
      <c r="D90" s="6">
        <f t="shared" si="11"/>
        <v>0</v>
      </c>
      <c r="E90">
        <f>SUM(EMP_1!E90+EMP_2!E90)</f>
        <v>0</v>
      </c>
      <c r="F90" s="6">
        <f t="shared" si="12"/>
        <v>0</v>
      </c>
      <c r="G90">
        <f>SUM(EMP_1!G90+EMP_2!G90)</f>
        <v>0</v>
      </c>
      <c r="H90" s="6">
        <f t="shared" si="13"/>
        <v>0</v>
      </c>
      <c r="I90">
        <f>SUM(EMP_1!I90+EMP_2!I90)</f>
        <v>0</v>
      </c>
      <c r="J90" s="7">
        <f t="shared" si="10"/>
        <v>0</v>
      </c>
    </row>
    <row r="91" spans="2:10" ht="15.75" x14ac:dyDescent="0.25">
      <c r="B91" s="9" t="s">
        <v>52</v>
      </c>
      <c r="C91">
        <f>SUM(EMP_1!C91+EMP_2!C91)</f>
        <v>0</v>
      </c>
      <c r="D91" s="6">
        <f t="shared" si="11"/>
        <v>0</v>
      </c>
      <c r="E91">
        <f>SUM(EMP_1!E91+EMP_2!E91)</f>
        <v>0</v>
      </c>
      <c r="F91" s="6">
        <f t="shared" si="12"/>
        <v>0</v>
      </c>
      <c r="G91">
        <f>SUM(EMP_1!G91+EMP_2!G91)</f>
        <v>0</v>
      </c>
      <c r="H91" s="6">
        <f t="shared" si="13"/>
        <v>0</v>
      </c>
      <c r="I91">
        <f>SUM(EMP_1!I91+EMP_2!I91)</f>
        <v>0</v>
      </c>
      <c r="J91" s="7">
        <f t="shared" si="10"/>
        <v>0</v>
      </c>
    </row>
    <row r="92" spans="2:10" ht="15.75" x14ac:dyDescent="0.25">
      <c r="B92" s="8" t="s">
        <v>44</v>
      </c>
      <c r="C92">
        <f>SUM(EMP_1!C92+EMP_2!C92)</f>
        <v>0</v>
      </c>
      <c r="D92" s="6">
        <f t="shared" si="11"/>
        <v>0</v>
      </c>
      <c r="E92">
        <f>SUM(EMP_1!E92+EMP_2!E92)</f>
        <v>0</v>
      </c>
      <c r="F92" s="6">
        <f t="shared" si="12"/>
        <v>0</v>
      </c>
      <c r="G92">
        <f>SUM(EMP_1!G92+EMP_2!G92)</f>
        <v>0</v>
      </c>
      <c r="H92" s="6">
        <f t="shared" si="13"/>
        <v>0</v>
      </c>
      <c r="I92">
        <f>SUM(EMP_1!I92+EMP_2!I92)</f>
        <v>0</v>
      </c>
      <c r="J92" s="7">
        <f t="shared" si="10"/>
        <v>0</v>
      </c>
    </row>
    <row r="93" spans="2:10" ht="15.75" x14ac:dyDescent="0.25">
      <c r="B93" s="9" t="s">
        <v>23</v>
      </c>
      <c r="C93">
        <f>SUM(EMP_1!C93+EMP_2!C93)</f>
        <v>0</v>
      </c>
      <c r="D93" s="6">
        <f t="shared" si="11"/>
        <v>0</v>
      </c>
      <c r="E93">
        <f>SUM(EMP_1!E93+EMP_2!E93)</f>
        <v>0</v>
      </c>
      <c r="F93" s="6">
        <f t="shared" si="12"/>
        <v>0</v>
      </c>
      <c r="G93">
        <f>SUM(EMP_1!G93+EMP_2!G93)</f>
        <v>0</v>
      </c>
      <c r="H93" s="6">
        <f t="shared" si="13"/>
        <v>0</v>
      </c>
      <c r="I93">
        <f>SUM(EMP_1!I93+EMP_2!I93)</f>
        <v>0</v>
      </c>
      <c r="J93" s="7">
        <f t="shared" si="10"/>
        <v>0</v>
      </c>
    </row>
    <row r="94" spans="2:10" ht="15.75" x14ac:dyDescent="0.25">
      <c r="B94" s="9" t="s">
        <v>20</v>
      </c>
      <c r="C94">
        <f>SUM(EMP_1!C94+EMP_2!C94)</f>
        <v>0</v>
      </c>
      <c r="D94" s="6">
        <f t="shared" si="11"/>
        <v>0</v>
      </c>
      <c r="E94">
        <f>SUM(EMP_1!E94+EMP_2!E94)</f>
        <v>0</v>
      </c>
      <c r="F94" s="6">
        <f t="shared" si="12"/>
        <v>0</v>
      </c>
      <c r="G94">
        <f>SUM(EMP_1!G94+EMP_2!G94)</f>
        <v>0</v>
      </c>
      <c r="H94" s="6">
        <f t="shared" si="13"/>
        <v>0</v>
      </c>
      <c r="I94">
        <f>SUM(EMP_1!I94+EMP_2!I94)</f>
        <v>0</v>
      </c>
      <c r="J94" s="7">
        <f t="shared" si="10"/>
        <v>0</v>
      </c>
    </row>
    <row r="95" spans="2:10" ht="15.75" x14ac:dyDescent="0.25">
      <c r="B95" s="9" t="s">
        <v>21</v>
      </c>
      <c r="C95">
        <f>SUM(EMP_1!C95+EMP_2!C95)</f>
        <v>0</v>
      </c>
      <c r="D95" s="6">
        <f t="shared" si="11"/>
        <v>0</v>
      </c>
      <c r="E95">
        <f>SUM(EMP_1!E95+EMP_2!E95)</f>
        <v>0</v>
      </c>
      <c r="F95" s="6">
        <f t="shared" si="12"/>
        <v>0</v>
      </c>
      <c r="G95">
        <f>SUM(EMP_1!G95+EMP_2!G95)</f>
        <v>0</v>
      </c>
      <c r="H95" s="6">
        <f t="shared" si="13"/>
        <v>0</v>
      </c>
      <c r="I95">
        <f>SUM(EMP_1!I95+EMP_2!I95)</f>
        <v>0</v>
      </c>
      <c r="J95" s="7">
        <f t="shared" si="10"/>
        <v>0</v>
      </c>
    </row>
    <row r="96" spans="2:10" ht="15.75" x14ac:dyDescent="0.25">
      <c r="B96" s="8"/>
      <c r="J96" s="3"/>
    </row>
    <row r="97" spans="2:10" ht="15.75" x14ac:dyDescent="0.25">
      <c r="B97" s="11" t="s">
        <v>55</v>
      </c>
      <c r="C97" s="24">
        <v>0</v>
      </c>
      <c r="D97" s="6">
        <f t="shared" si="11"/>
        <v>0</v>
      </c>
      <c r="E97" s="24">
        <v>0</v>
      </c>
      <c r="F97" s="6">
        <f>IF($F$48="ERRO","ERRO",IF($F$48=0,0,E97/$F$48))</f>
        <v>0</v>
      </c>
      <c r="G97" s="24">
        <v>0</v>
      </c>
      <c r="H97" s="6">
        <f>IF($H$48="ERRO","ERRO",IF($H$48=0,0,G97/$H$48))</f>
        <v>0</v>
      </c>
      <c r="I97" s="24">
        <v>0</v>
      </c>
      <c r="J97" s="7">
        <f t="shared" si="10"/>
        <v>0</v>
      </c>
    </row>
    <row r="98" spans="2:10" ht="15.75" x14ac:dyDescent="0.25">
      <c r="B98" s="13"/>
      <c r="J98" s="3"/>
    </row>
    <row r="99" spans="2:10" ht="15.75" x14ac:dyDescent="0.25">
      <c r="B99" s="11" t="s">
        <v>56</v>
      </c>
      <c r="C99" s="24">
        <v>0</v>
      </c>
      <c r="D99" s="6">
        <f t="shared" si="11"/>
        <v>0</v>
      </c>
      <c r="E99" s="24">
        <v>0</v>
      </c>
      <c r="F99" s="6">
        <f>IF($F$48="ERRO","ERRO",IF($F$48=0,0,E99/$F$48))</f>
        <v>0</v>
      </c>
      <c r="G99" s="24">
        <v>0</v>
      </c>
      <c r="H99" s="6">
        <f>IF($H$48="ERRO","ERRO",IF($H$48=0,0,G99/$H$48))</f>
        <v>0</v>
      </c>
      <c r="I99" s="24">
        <v>0</v>
      </c>
      <c r="J99" s="7">
        <f t="shared" si="10"/>
        <v>0</v>
      </c>
    </row>
    <row r="100" spans="2:10" ht="15.75" x14ac:dyDescent="0.25">
      <c r="B100" s="13"/>
      <c r="J100" s="3"/>
    </row>
    <row r="101" spans="2:10" ht="15.75" x14ac:dyDescent="0.25">
      <c r="B101" s="10" t="s">
        <v>57</v>
      </c>
      <c r="C101" s="24">
        <f>SUM(EMP_1!C101+EMP_2!C101)</f>
        <v>0</v>
      </c>
      <c r="D101" s="6">
        <f t="shared" si="11"/>
        <v>0</v>
      </c>
      <c r="E101" s="24">
        <f>SUM(EMP_1!E101+EMP_2!E101)</f>
        <v>0</v>
      </c>
      <c r="F101" s="6">
        <f t="shared" ref="F101:F104" si="14">IF($F$48="ERRO","ERRO",IF($F$48=0,0,E101/$F$48))</f>
        <v>0</v>
      </c>
      <c r="G101" s="24">
        <f>SUM(EMP_1!G101+EMP_2!G101)</f>
        <v>0</v>
      </c>
      <c r="H101" s="6">
        <f t="shared" ref="H101:H104" si="15">IF($H$48="ERRO","ERRO",IF($H$48=0,0,G101/$H$48))</f>
        <v>0</v>
      </c>
      <c r="I101" s="24">
        <f>SUM(EMP_1!I101+EMP_2!I101)</f>
        <v>0</v>
      </c>
      <c r="J101" s="7">
        <f t="shared" si="10"/>
        <v>0</v>
      </c>
    </row>
    <row r="102" spans="2:10" ht="15.75" x14ac:dyDescent="0.25">
      <c r="B102" s="9" t="s">
        <v>58</v>
      </c>
      <c r="C102">
        <f>C101-C103-C104</f>
        <v>0</v>
      </c>
      <c r="D102" s="6">
        <f t="shared" si="11"/>
        <v>0</v>
      </c>
      <c r="E102">
        <f>E101-E103-E104</f>
        <v>0</v>
      </c>
      <c r="F102" s="6">
        <f t="shared" si="14"/>
        <v>0</v>
      </c>
      <c r="G102">
        <f>G101-G103-G104</f>
        <v>0</v>
      </c>
      <c r="H102" s="6">
        <f t="shared" si="15"/>
        <v>0</v>
      </c>
      <c r="I102">
        <f>I101-I103-I104</f>
        <v>0</v>
      </c>
      <c r="J102" s="7">
        <f t="shared" si="10"/>
        <v>0</v>
      </c>
    </row>
    <row r="103" spans="2:10" ht="15.75" x14ac:dyDescent="0.25">
      <c r="B103" s="8" t="s">
        <v>59</v>
      </c>
      <c r="D103" s="6">
        <f t="shared" si="11"/>
        <v>0</v>
      </c>
      <c r="F103" s="6">
        <f t="shared" si="14"/>
        <v>0</v>
      </c>
      <c r="H103" s="6">
        <f t="shared" si="15"/>
        <v>0</v>
      </c>
      <c r="J103" s="7">
        <f t="shared" si="10"/>
        <v>0</v>
      </c>
    </row>
    <row r="104" spans="2:10" ht="16.5" thickBot="1" x14ac:dyDescent="0.3">
      <c r="B104" s="14" t="s">
        <v>60</v>
      </c>
      <c r="C104" s="15">
        <f>C139</f>
        <v>0</v>
      </c>
      <c r="D104" s="16">
        <f t="shared" si="11"/>
        <v>0</v>
      </c>
      <c r="E104" s="15">
        <f>E139</f>
        <v>0</v>
      </c>
      <c r="F104" s="16">
        <f t="shared" si="14"/>
        <v>0</v>
      </c>
      <c r="G104" s="15">
        <f>G139</f>
        <v>0</v>
      </c>
      <c r="H104" s="16">
        <f t="shared" si="15"/>
        <v>0</v>
      </c>
      <c r="I104" s="15">
        <f>I139</f>
        <v>0</v>
      </c>
      <c r="J104" s="17">
        <f t="shared" si="10"/>
        <v>0</v>
      </c>
    </row>
    <row r="105" spans="2:10" ht="15.75" thickBot="1" x14ac:dyDescent="0.3"/>
    <row r="106" spans="2:10" ht="21.75" thickBot="1" x14ac:dyDescent="0.4">
      <c r="B106" s="61" t="s">
        <v>61</v>
      </c>
      <c r="C106" s="62"/>
      <c r="D106" s="62"/>
      <c r="E106" s="62"/>
      <c r="F106" s="62"/>
      <c r="G106" s="62"/>
      <c r="H106" s="62"/>
      <c r="I106" s="62"/>
      <c r="J106" s="63"/>
    </row>
    <row r="107" spans="2:10" x14ac:dyDescent="0.25">
      <c r="B107" s="23"/>
      <c r="C107" s="24" t="s">
        <v>62</v>
      </c>
      <c r="D107" s="24"/>
      <c r="E107" s="24" t="s">
        <v>64</v>
      </c>
      <c r="F107" s="24"/>
      <c r="G107" s="24" t="s">
        <v>65</v>
      </c>
      <c r="H107" s="24"/>
      <c r="I107" s="24" t="s">
        <v>66</v>
      </c>
      <c r="J107" s="25"/>
    </row>
    <row r="108" spans="2:10" x14ac:dyDescent="0.25">
      <c r="B108" s="23" t="s">
        <v>63</v>
      </c>
      <c r="C108" s="26">
        <v>12</v>
      </c>
      <c r="D108" s="26"/>
      <c r="E108" s="26">
        <v>12</v>
      </c>
      <c r="F108" s="26"/>
      <c r="G108" s="26">
        <v>12</v>
      </c>
      <c r="H108" s="26"/>
      <c r="I108" s="26">
        <v>12</v>
      </c>
      <c r="J108" s="27"/>
    </row>
    <row r="109" spans="2:10" x14ac:dyDescent="0.25">
      <c r="B109" s="23"/>
      <c r="C109" s="26" t="s">
        <v>67</v>
      </c>
      <c r="D109" s="26" t="s">
        <v>93</v>
      </c>
      <c r="E109" s="26" t="s">
        <v>67</v>
      </c>
      <c r="F109" s="26" t="s">
        <v>93</v>
      </c>
      <c r="G109" s="26" t="s">
        <v>67</v>
      </c>
      <c r="H109" s="26" t="s">
        <v>93</v>
      </c>
      <c r="I109" s="26" t="s">
        <v>67</v>
      </c>
      <c r="J109" s="27" t="s">
        <v>93</v>
      </c>
    </row>
    <row r="110" spans="2:10" x14ac:dyDescent="0.25">
      <c r="B110" s="2"/>
      <c r="C110" s="4"/>
      <c r="D110" s="4"/>
      <c r="E110" s="4"/>
      <c r="F110" s="4"/>
      <c r="G110" s="4"/>
      <c r="H110" s="4"/>
      <c r="I110" s="4"/>
      <c r="J110" s="5"/>
    </row>
    <row r="111" spans="2:10" ht="15.75" x14ac:dyDescent="0.25">
      <c r="B111" s="11" t="s">
        <v>68</v>
      </c>
      <c r="C111" s="24">
        <f>SUM(EMP_1!C111+EMP_2!C111)</f>
        <v>0</v>
      </c>
      <c r="D111">
        <f ca="1">IF($D$114=0,0,C111/$D$114)</f>
        <v>0</v>
      </c>
      <c r="E111" s="24">
        <f>SUM(EMP_1!E111+EMP_2!E111)</f>
        <v>0</v>
      </c>
      <c r="F111">
        <f ca="1">IF($F$114=0,0,E111/$F$114)</f>
        <v>0</v>
      </c>
      <c r="G111" s="24">
        <f>SUM(EMP_1!G111+EMP_2!G111)</f>
        <v>0</v>
      </c>
      <c r="H111">
        <f ca="1">IF($H$114=0,0,G111/$H$114)</f>
        <v>0</v>
      </c>
      <c r="I111" s="24">
        <f>SUM(EMP_1!I111+EMP_2!I111)</f>
        <v>0</v>
      </c>
      <c r="J111" s="3">
        <f ca="1">IF($J$114=0,0,I111/$J$114)</f>
        <v>0</v>
      </c>
    </row>
    <row r="112" spans="2:10" ht="15.75" x14ac:dyDescent="0.25">
      <c r="B112" s="8" t="s">
        <v>69</v>
      </c>
      <c r="C112">
        <f>SUM(EMP_1!C112+EMP_2!C112)</f>
        <v>0</v>
      </c>
      <c r="D112">
        <f t="shared" ref="D112:D139" ca="1" si="16">IF($D$114=0,0,C112/$D$114)</f>
        <v>0</v>
      </c>
      <c r="E112">
        <f>SUM(EMP_1!E112+EMP_2!E112)</f>
        <v>0</v>
      </c>
      <c r="F112">
        <f t="shared" ref="F112:F139" ca="1" si="17">IF($F$114=0,0,E112/$F$114)</f>
        <v>0</v>
      </c>
      <c r="G112">
        <f>SUM(EMP_1!G112+EMP_2!G112)</f>
        <v>0</v>
      </c>
      <c r="H112">
        <f t="shared" ref="H112:H139" ca="1" si="18">IF($H$114=0,0,G112/$H$114)</f>
        <v>0</v>
      </c>
      <c r="I112">
        <f>SUM(EMP_1!I112+EMP_2!I112)</f>
        <v>0</v>
      </c>
      <c r="J112" s="3">
        <f t="shared" ref="J112:J139" ca="1" si="19">IF($J$114=0,0,I112/$J$114)</f>
        <v>0</v>
      </c>
    </row>
    <row r="113" spans="2:10" ht="15.75" x14ac:dyDescent="0.25">
      <c r="B113" s="11" t="s">
        <v>70</v>
      </c>
      <c r="C113" s="18">
        <f>C111-C112</f>
        <v>0</v>
      </c>
      <c r="D113">
        <f t="shared" ca="1" si="16"/>
        <v>0</v>
      </c>
      <c r="E113" s="18">
        <f>E111-E112</f>
        <v>0</v>
      </c>
      <c r="F113">
        <f t="shared" ca="1" si="17"/>
        <v>0</v>
      </c>
      <c r="G113" s="18">
        <f>G111-G112</f>
        <v>0</v>
      </c>
      <c r="H113">
        <f t="shared" ca="1" si="18"/>
        <v>0</v>
      </c>
      <c r="I113" s="18">
        <f>I111-I112</f>
        <v>0</v>
      </c>
      <c r="J113" s="3">
        <f t="shared" ca="1" si="19"/>
        <v>0</v>
      </c>
    </row>
    <row r="114" spans="2:10" ht="15.75" x14ac:dyDescent="0.25">
      <c r="B114" s="8" t="s">
        <v>71</v>
      </c>
      <c r="C114">
        <f>SUM(C115:C118)</f>
        <v>0</v>
      </c>
      <c r="D114">
        <f t="shared" ca="1" si="16"/>
        <v>0</v>
      </c>
      <c r="E114">
        <f>SUM(E115:E118)</f>
        <v>0</v>
      </c>
      <c r="F114">
        <f t="shared" ca="1" si="17"/>
        <v>0</v>
      </c>
      <c r="G114">
        <f>SUM(G115:G118)</f>
        <v>0</v>
      </c>
      <c r="H114">
        <f t="shared" ca="1" si="18"/>
        <v>0</v>
      </c>
      <c r="I114">
        <f>SUM(I115:I118)</f>
        <v>0</v>
      </c>
      <c r="J114" s="3">
        <f t="shared" ca="1" si="19"/>
        <v>0</v>
      </c>
    </row>
    <row r="115" spans="2:10" ht="15.75" x14ac:dyDescent="0.25">
      <c r="B115" s="19" t="s">
        <v>94</v>
      </c>
      <c r="C115">
        <f>SUM(EMP_1!C115+EMP_2!C115)</f>
        <v>0</v>
      </c>
      <c r="D115">
        <f t="shared" ca="1" si="16"/>
        <v>0</v>
      </c>
      <c r="E115">
        <f>SUM(EMP_1!E115+EMP_2!E115)</f>
        <v>0</v>
      </c>
      <c r="F115">
        <f t="shared" ca="1" si="17"/>
        <v>0</v>
      </c>
      <c r="G115">
        <f>SUM(EMP_1!G115+EMP_2!G115)</f>
        <v>0</v>
      </c>
      <c r="H115">
        <f t="shared" ca="1" si="18"/>
        <v>0</v>
      </c>
      <c r="I115">
        <f>SUM(EMP_1!I115+EMP_2!I115)</f>
        <v>0</v>
      </c>
      <c r="J115" s="3">
        <f t="shared" ca="1" si="19"/>
        <v>0</v>
      </c>
    </row>
    <row r="116" spans="2:10" ht="15.75" x14ac:dyDescent="0.25">
      <c r="B116" s="19" t="s">
        <v>95</v>
      </c>
      <c r="C116">
        <f>SUM(EMP_1!C116+EMP_2!C116)</f>
        <v>0</v>
      </c>
      <c r="D116">
        <f t="shared" ca="1" si="16"/>
        <v>0</v>
      </c>
      <c r="E116">
        <f>SUM(EMP_1!E116+EMP_2!E116)</f>
        <v>0</v>
      </c>
      <c r="F116">
        <f t="shared" ca="1" si="17"/>
        <v>0</v>
      </c>
      <c r="G116">
        <f>SUM(EMP_1!G116+EMP_2!G116)</f>
        <v>0</v>
      </c>
      <c r="H116">
        <f t="shared" ca="1" si="18"/>
        <v>0</v>
      </c>
      <c r="I116">
        <f>SUM(EMP_1!I116+EMP_2!I116)</f>
        <v>0</v>
      </c>
      <c r="J116" s="3">
        <f t="shared" ca="1" si="19"/>
        <v>0</v>
      </c>
    </row>
    <row r="117" spans="2:10" ht="15.75" x14ac:dyDescent="0.25">
      <c r="B117" s="19" t="s">
        <v>96</v>
      </c>
      <c r="C117">
        <f>SUM(EMP_1!C117+EMP_2!C117)</f>
        <v>0</v>
      </c>
      <c r="D117">
        <f t="shared" ca="1" si="16"/>
        <v>0</v>
      </c>
      <c r="E117">
        <f>SUM(EMP_1!E117+EMP_2!E117)</f>
        <v>0</v>
      </c>
      <c r="F117">
        <f t="shared" ca="1" si="17"/>
        <v>0</v>
      </c>
      <c r="G117">
        <f>SUM(EMP_1!G117+EMP_2!G117)</f>
        <v>0</v>
      </c>
      <c r="H117">
        <f t="shared" ca="1" si="18"/>
        <v>0</v>
      </c>
      <c r="I117">
        <f>SUM(EMP_1!I117+EMP_2!I117)</f>
        <v>0</v>
      </c>
      <c r="J117" s="3">
        <f t="shared" ca="1" si="19"/>
        <v>0</v>
      </c>
    </row>
    <row r="118" spans="2:10" ht="15.75" x14ac:dyDescent="0.25">
      <c r="B118" s="19" t="s">
        <v>97</v>
      </c>
      <c r="C118">
        <f>SUM(EMP_1!C118+EMP_2!C118)</f>
        <v>0</v>
      </c>
      <c r="D118">
        <f t="shared" ca="1" si="16"/>
        <v>0</v>
      </c>
      <c r="E118">
        <f>SUM(EMP_1!E118+EMP_2!E118)</f>
        <v>0</v>
      </c>
      <c r="F118">
        <f t="shared" ca="1" si="17"/>
        <v>0</v>
      </c>
      <c r="G118">
        <f>SUM(EMP_1!G118+EMP_2!G118)</f>
        <v>0</v>
      </c>
      <c r="H118">
        <f t="shared" ca="1" si="18"/>
        <v>0</v>
      </c>
      <c r="I118">
        <f>SUM(EMP_1!I118+EMP_2!I118)</f>
        <v>0</v>
      </c>
      <c r="J118" s="3">
        <f t="shared" ca="1" si="19"/>
        <v>0</v>
      </c>
    </row>
    <row r="119" spans="2:10" ht="15.75" x14ac:dyDescent="0.25">
      <c r="B119" s="11" t="s">
        <v>72</v>
      </c>
      <c r="C119" s="18">
        <f>C113-C114</f>
        <v>0</v>
      </c>
      <c r="D119">
        <f t="shared" ca="1" si="16"/>
        <v>0</v>
      </c>
      <c r="E119" s="18">
        <f>E113-E114</f>
        <v>0</v>
      </c>
      <c r="F119">
        <f t="shared" ca="1" si="17"/>
        <v>0</v>
      </c>
      <c r="G119" s="18">
        <f>G113-G114</f>
        <v>0</v>
      </c>
      <c r="H119">
        <f t="shared" ca="1" si="18"/>
        <v>0</v>
      </c>
      <c r="I119" s="18">
        <f>I113-I114</f>
        <v>0</v>
      </c>
      <c r="J119" s="3">
        <f t="shared" ca="1" si="19"/>
        <v>0</v>
      </c>
    </row>
    <row r="120" spans="2:10" ht="15.75" x14ac:dyDescent="0.25">
      <c r="B120" s="8" t="s">
        <v>73</v>
      </c>
      <c r="C120">
        <f>SUM(C121:C123)</f>
        <v>0</v>
      </c>
      <c r="D120">
        <f t="shared" ca="1" si="16"/>
        <v>0</v>
      </c>
      <c r="E120">
        <f>SUM(E121:E123)</f>
        <v>0</v>
      </c>
      <c r="F120">
        <f t="shared" ca="1" si="17"/>
        <v>0</v>
      </c>
      <c r="G120">
        <f>SUM(G121:G123)</f>
        <v>0</v>
      </c>
      <c r="H120">
        <f t="shared" ca="1" si="18"/>
        <v>0</v>
      </c>
      <c r="I120">
        <f>SUM(I121:I123)</f>
        <v>0</v>
      </c>
      <c r="J120" s="3">
        <f t="shared" ca="1" si="19"/>
        <v>0</v>
      </c>
    </row>
    <row r="121" spans="2:10" ht="15.75" x14ac:dyDescent="0.25">
      <c r="B121" s="19" t="s">
        <v>74</v>
      </c>
      <c r="C121">
        <f>SUM(EMP_1!C121+EMP_2!C121)</f>
        <v>0</v>
      </c>
      <c r="D121">
        <f t="shared" ca="1" si="16"/>
        <v>0</v>
      </c>
      <c r="E121">
        <f>SUM(EMP_1!E121+EMP_2!E121)</f>
        <v>0</v>
      </c>
      <c r="F121">
        <f t="shared" ca="1" si="17"/>
        <v>0</v>
      </c>
      <c r="G121">
        <f>SUM(EMP_1!G121+EMP_2!G121)</f>
        <v>0</v>
      </c>
      <c r="H121">
        <f t="shared" ca="1" si="18"/>
        <v>0</v>
      </c>
      <c r="I121">
        <f>SUM(EMP_1!I121+EMP_2!I121)</f>
        <v>0</v>
      </c>
      <c r="J121" s="3">
        <f t="shared" ca="1" si="19"/>
        <v>0</v>
      </c>
    </row>
    <row r="122" spans="2:10" ht="15.75" x14ac:dyDescent="0.25">
      <c r="B122" s="19" t="s">
        <v>75</v>
      </c>
      <c r="C122">
        <f>SUM(EMP_1!C122+EMP_2!C122)</f>
        <v>0</v>
      </c>
      <c r="D122">
        <f t="shared" ca="1" si="16"/>
        <v>0</v>
      </c>
      <c r="E122">
        <f>SUM(EMP_1!E122+EMP_2!E122)</f>
        <v>0</v>
      </c>
      <c r="F122">
        <f t="shared" ca="1" si="17"/>
        <v>0</v>
      </c>
      <c r="G122">
        <f>SUM(EMP_1!G122+EMP_2!G122)</f>
        <v>0</v>
      </c>
      <c r="H122">
        <f t="shared" ca="1" si="18"/>
        <v>0</v>
      </c>
      <c r="I122">
        <f>SUM(EMP_1!I122+EMP_2!I122)</f>
        <v>0</v>
      </c>
      <c r="J122" s="3">
        <f t="shared" ca="1" si="19"/>
        <v>0</v>
      </c>
    </row>
    <row r="123" spans="2:10" ht="15.75" x14ac:dyDescent="0.25">
      <c r="B123" s="19" t="s">
        <v>76</v>
      </c>
      <c r="C123">
        <f>SUM(EMP_1!C123+EMP_2!C123)</f>
        <v>0</v>
      </c>
      <c r="D123">
        <f t="shared" ca="1" si="16"/>
        <v>0</v>
      </c>
      <c r="E123">
        <f>SUM(EMP_1!E123+EMP_2!E123)</f>
        <v>0</v>
      </c>
      <c r="F123">
        <f t="shared" ca="1" si="17"/>
        <v>0</v>
      </c>
      <c r="G123">
        <f>SUM(EMP_1!G123+EMP_2!G123)</f>
        <v>0</v>
      </c>
      <c r="H123">
        <f t="shared" ca="1" si="18"/>
        <v>0</v>
      </c>
      <c r="I123">
        <f>SUM(EMP_1!I123+EMP_2!I123)</f>
        <v>0</v>
      </c>
      <c r="J123" s="3">
        <f t="shared" ca="1" si="19"/>
        <v>0</v>
      </c>
    </row>
    <row r="124" spans="2:10" ht="15.75" x14ac:dyDescent="0.25">
      <c r="B124" s="11" t="s">
        <v>77</v>
      </c>
      <c r="C124" s="18">
        <f>C119-C120</f>
        <v>0</v>
      </c>
      <c r="D124">
        <f t="shared" ca="1" si="16"/>
        <v>0</v>
      </c>
      <c r="E124" s="18">
        <f>E119-E120</f>
        <v>0</v>
      </c>
      <c r="F124">
        <f t="shared" ca="1" si="17"/>
        <v>0</v>
      </c>
      <c r="G124" s="18">
        <f>G119-G120</f>
        <v>0</v>
      </c>
      <c r="H124">
        <f t="shared" ca="1" si="18"/>
        <v>0</v>
      </c>
      <c r="I124" s="18">
        <f>I119-I120</f>
        <v>0</v>
      </c>
      <c r="J124" s="3">
        <f t="shared" ca="1" si="19"/>
        <v>0</v>
      </c>
    </row>
    <row r="125" spans="2:10" ht="15.75" x14ac:dyDescent="0.25">
      <c r="B125" s="8" t="s">
        <v>78</v>
      </c>
      <c r="C125">
        <f>SUM(C126:C127)</f>
        <v>0</v>
      </c>
      <c r="D125">
        <f t="shared" ca="1" si="16"/>
        <v>0</v>
      </c>
      <c r="E125">
        <f>SUM(E126:E127)</f>
        <v>0</v>
      </c>
      <c r="F125">
        <f t="shared" ca="1" si="17"/>
        <v>0</v>
      </c>
      <c r="G125">
        <f>SUM(G126:G127)</f>
        <v>0</v>
      </c>
      <c r="H125">
        <f t="shared" ca="1" si="18"/>
        <v>0</v>
      </c>
      <c r="I125">
        <f>SUM(I126:I127)</f>
        <v>0</v>
      </c>
      <c r="J125" s="3">
        <f t="shared" ca="1" si="19"/>
        <v>0</v>
      </c>
    </row>
    <row r="126" spans="2:10" ht="15.75" x14ac:dyDescent="0.25">
      <c r="B126" s="19" t="s">
        <v>79</v>
      </c>
      <c r="C126">
        <f>SUM(EMP_1!C126+EMP_2!C126)</f>
        <v>0</v>
      </c>
      <c r="D126">
        <f t="shared" ca="1" si="16"/>
        <v>0</v>
      </c>
      <c r="E126">
        <f>SUM(EMP_1!E126+EMP_2!E126)</f>
        <v>0</v>
      </c>
      <c r="F126">
        <f t="shared" ca="1" si="17"/>
        <v>0</v>
      </c>
      <c r="G126">
        <f>SUM(EMP_1!G126+EMP_2!G126)</f>
        <v>0</v>
      </c>
      <c r="H126">
        <f t="shared" ca="1" si="18"/>
        <v>0</v>
      </c>
      <c r="I126">
        <f>SUM(EMP_1!I126+EMP_2!I126)</f>
        <v>0</v>
      </c>
      <c r="J126" s="3">
        <f t="shared" ca="1" si="19"/>
        <v>0</v>
      </c>
    </row>
    <row r="127" spans="2:10" ht="15.75" x14ac:dyDescent="0.25">
      <c r="B127" s="19" t="s">
        <v>80</v>
      </c>
      <c r="C127">
        <f>SUM(EMP_1!C127+EMP_2!C127)</f>
        <v>0</v>
      </c>
      <c r="D127">
        <f t="shared" ca="1" si="16"/>
        <v>0</v>
      </c>
      <c r="E127">
        <f>SUM(EMP_1!E127+EMP_2!E127)</f>
        <v>0</v>
      </c>
      <c r="F127">
        <f t="shared" ca="1" si="17"/>
        <v>0</v>
      </c>
      <c r="G127">
        <f>SUM(EMP_1!G127+EMP_2!G127)</f>
        <v>0</v>
      </c>
      <c r="H127">
        <f t="shared" ca="1" si="18"/>
        <v>0</v>
      </c>
      <c r="I127">
        <f>SUM(EMP_1!I127+EMP_2!I127)</f>
        <v>0</v>
      </c>
      <c r="J127" s="3">
        <f t="shared" ca="1" si="19"/>
        <v>0</v>
      </c>
    </row>
    <row r="128" spans="2:10" ht="15.75" x14ac:dyDescent="0.25">
      <c r="B128" s="8" t="s">
        <v>81</v>
      </c>
      <c r="C128">
        <f>SUM(EMP_1!C128+EMP_2!C128)</f>
        <v>0</v>
      </c>
      <c r="D128">
        <f t="shared" ca="1" si="16"/>
        <v>0</v>
      </c>
      <c r="E128">
        <f>SUM(EMP_1!E128+EMP_2!E128)</f>
        <v>0</v>
      </c>
      <c r="F128">
        <f t="shared" ca="1" si="17"/>
        <v>0</v>
      </c>
      <c r="G128">
        <f>SUM(EMP_1!G128+EMP_2!G128)</f>
        <v>0</v>
      </c>
      <c r="H128">
        <f t="shared" ca="1" si="18"/>
        <v>0</v>
      </c>
      <c r="I128">
        <f>SUM(EMP_1!I128+EMP_2!I128)</f>
        <v>0</v>
      </c>
      <c r="J128" s="3">
        <f t="shared" ca="1" si="19"/>
        <v>0</v>
      </c>
    </row>
    <row r="129" spans="2:10" ht="15.75" x14ac:dyDescent="0.25">
      <c r="B129" s="8" t="s">
        <v>82</v>
      </c>
      <c r="C129">
        <f>SUM(EMP_1!C129+EMP_2!C129)</f>
        <v>0</v>
      </c>
      <c r="D129">
        <f t="shared" ca="1" si="16"/>
        <v>0</v>
      </c>
      <c r="E129">
        <f>SUM(EMP_1!E129+EMP_2!E129)</f>
        <v>0</v>
      </c>
      <c r="F129">
        <f t="shared" ca="1" si="17"/>
        <v>0</v>
      </c>
      <c r="G129">
        <f>SUM(EMP_1!G129+EMP_2!G129)</f>
        <v>0</v>
      </c>
      <c r="H129">
        <f t="shared" ca="1" si="18"/>
        <v>0</v>
      </c>
      <c r="I129">
        <f>SUM(EMP_1!I129+EMP_2!I129)</f>
        <v>0</v>
      </c>
      <c r="J129" s="3">
        <f t="shared" ca="1" si="19"/>
        <v>0</v>
      </c>
    </row>
    <row r="130" spans="2:10" ht="15.75" x14ac:dyDescent="0.25">
      <c r="B130" s="11" t="s">
        <v>83</v>
      </c>
      <c r="C130" s="18">
        <f>C124-C125+C128+C129</f>
        <v>0</v>
      </c>
      <c r="D130">
        <f t="shared" ca="1" si="16"/>
        <v>0</v>
      </c>
      <c r="E130" s="18">
        <f>E124-E125+E128+E129</f>
        <v>0</v>
      </c>
      <c r="F130">
        <f t="shared" ca="1" si="17"/>
        <v>0</v>
      </c>
      <c r="G130" s="18">
        <f>G124-G125+G128+G129</f>
        <v>0</v>
      </c>
      <c r="H130">
        <f t="shared" ca="1" si="18"/>
        <v>0</v>
      </c>
      <c r="I130" s="18">
        <f>I124-I125+I128+I129</f>
        <v>0</v>
      </c>
      <c r="J130" s="3">
        <f t="shared" ca="1" si="19"/>
        <v>0</v>
      </c>
    </row>
    <row r="131" spans="2:10" ht="15.75" x14ac:dyDescent="0.25">
      <c r="B131" s="8" t="s">
        <v>84</v>
      </c>
      <c r="C131">
        <f>SUM(EMP_1!C131+EMP_2!C131)</f>
        <v>0</v>
      </c>
      <c r="D131">
        <f t="shared" ca="1" si="16"/>
        <v>0</v>
      </c>
      <c r="E131">
        <f>SUM(EMP_1!E131+EMP_2!E131)</f>
        <v>0</v>
      </c>
      <c r="F131">
        <f t="shared" ca="1" si="17"/>
        <v>0</v>
      </c>
      <c r="G131">
        <f>SUM(EMP_1!G131+EMP_2!G131)</f>
        <v>0</v>
      </c>
      <c r="H131">
        <f t="shared" ca="1" si="18"/>
        <v>0</v>
      </c>
      <c r="I131">
        <f>SUM(EMP_1!I131+EMP_2!I131)</f>
        <v>0</v>
      </c>
      <c r="J131" s="3">
        <f t="shared" ca="1" si="19"/>
        <v>0</v>
      </c>
    </row>
    <row r="132" spans="2:10" ht="15.75" x14ac:dyDescent="0.25">
      <c r="B132" s="8" t="s">
        <v>85</v>
      </c>
      <c r="C132">
        <f>SUM(EMP_1!C132+EMP_2!C132)</f>
        <v>0</v>
      </c>
      <c r="D132">
        <f t="shared" ca="1" si="16"/>
        <v>0</v>
      </c>
      <c r="E132">
        <f>SUM(EMP_1!E132+EMP_2!E132)</f>
        <v>0</v>
      </c>
      <c r="F132">
        <f t="shared" ca="1" si="17"/>
        <v>0</v>
      </c>
      <c r="G132">
        <f>SUM(EMP_1!G132+EMP_2!G132)</f>
        <v>0</v>
      </c>
      <c r="H132">
        <f t="shared" ca="1" si="18"/>
        <v>0</v>
      </c>
      <c r="I132">
        <f>SUM(EMP_1!I132+EMP_2!I132)</f>
        <v>0</v>
      </c>
      <c r="J132" s="3">
        <f t="shared" ca="1" si="19"/>
        <v>0</v>
      </c>
    </row>
    <row r="133" spans="2:10" ht="15.75" x14ac:dyDescent="0.25">
      <c r="B133" s="8" t="s">
        <v>86</v>
      </c>
      <c r="C133">
        <f>SUM(EMP_1!C133+EMP_2!C133)</f>
        <v>0</v>
      </c>
      <c r="D133">
        <f t="shared" ca="1" si="16"/>
        <v>0</v>
      </c>
      <c r="E133">
        <f>SUM(EMP_1!E133+EMP_2!E133)</f>
        <v>0</v>
      </c>
      <c r="F133">
        <f t="shared" ca="1" si="17"/>
        <v>0</v>
      </c>
      <c r="G133">
        <f>SUM(EMP_1!G133+EMP_2!G133)</f>
        <v>0</v>
      </c>
      <c r="H133">
        <f t="shared" ca="1" si="18"/>
        <v>0</v>
      </c>
      <c r="I133">
        <f>SUM(EMP_1!I133+EMP_2!I133)</f>
        <v>0</v>
      </c>
      <c r="J133" s="3">
        <f t="shared" ca="1" si="19"/>
        <v>0</v>
      </c>
    </row>
    <row r="134" spans="2:10" ht="15.75" x14ac:dyDescent="0.25">
      <c r="B134" s="8" t="s">
        <v>87</v>
      </c>
      <c r="C134">
        <f>SUM(EMP_1!C134+EMP_2!C134)</f>
        <v>0</v>
      </c>
      <c r="D134">
        <f t="shared" ca="1" si="16"/>
        <v>0</v>
      </c>
      <c r="E134">
        <f>SUM(EMP_1!E134+EMP_2!E134)</f>
        <v>0</v>
      </c>
      <c r="F134">
        <f t="shared" ca="1" si="17"/>
        <v>0</v>
      </c>
      <c r="G134">
        <f>SUM(EMP_1!G134+EMP_2!G134)</f>
        <v>0</v>
      </c>
      <c r="H134">
        <f t="shared" ca="1" si="18"/>
        <v>0</v>
      </c>
      <c r="I134">
        <f>SUM(EMP_1!I134+EMP_2!I134)</f>
        <v>0</v>
      </c>
      <c r="J134" s="3">
        <f t="shared" ca="1" si="19"/>
        <v>0</v>
      </c>
    </row>
    <row r="135" spans="2:10" ht="15.75" x14ac:dyDescent="0.25">
      <c r="B135" s="11" t="s">
        <v>88</v>
      </c>
      <c r="C135" s="18">
        <f>C130-SUM(C131:C134)</f>
        <v>0</v>
      </c>
      <c r="D135">
        <f t="shared" ca="1" si="16"/>
        <v>0</v>
      </c>
      <c r="E135" s="18">
        <f>E130-SUM(E131:E134)</f>
        <v>0</v>
      </c>
      <c r="F135">
        <f t="shared" ca="1" si="17"/>
        <v>0</v>
      </c>
      <c r="G135" s="18">
        <f>G130-SUM(G131:G134)</f>
        <v>0</v>
      </c>
      <c r="H135">
        <f t="shared" ca="1" si="18"/>
        <v>0</v>
      </c>
      <c r="I135" s="18">
        <f>I130-SUM(I131:I134)</f>
        <v>0</v>
      </c>
      <c r="J135" s="3">
        <f t="shared" ca="1" si="19"/>
        <v>0</v>
      </c>
    </row>
    <row r="136" spans="2:10" ht="15.75" x14ac:dyDescent="0.25">
      <c r="B136" s="8" t="s">
        <v>89</v>
      </c>
      <c r="C136">
        <f>SUM(EMP_1!C136+EMP_2!C136)</f>
        <v>0</v>
      </c>
      <c r="D136">
        <f t="shared" ca="1" si="16"/>
        <v>0</v>
      </c>
      <c r="E136">
        <f>SUM(EMP_1!E136+EMP_2!E136)</f>
        <v>0</v>
      </c>
      <c r="F136">
        <f t="shared" ca="1" si="17"/>
        <v>0</v>
      </c>
      <c r="G136">
        <f>SUM(EMP_1!G136+EMP_2!G136)</f>
        <v>0</v>
      </c>
      <c r="H136">
        <f t="shared" ca="1" si="18"/>
        <v>0</v>
      </c>
      <c r="I136">
        <f>SUM(EMP_1!I136+EMP_2!I136)</f>
        <v>0</v>
      </c>
      <c r="J136" s="3">
        <f t="shared" ca="1" si="19"/>
        <v>0</v>
      </c>
    </row>
    <row r="137" spans="2:10" ht="15.75" x14ac:dyDescent="0.25">
      <c r="B137" s="11" t="s">
        <v>90</v>
      </c>
      <c r="C137" s="18">
        <f>C135+C136</f>
        <v>0</v>
      </c>
      <c r="D137">
        <f t="shared" ca="1" si="16"/>
        <v>0</v>
      </c>
      <c r="E137" s="18">
        <f>E135+E136</f>
        <v>0</v>
      </c>
      <c r="F137">
        <f t="shared" ca="1" si="17"/>
        <v>0</v>
      </c>
      <c r="G137" s="18">
        <f>G135+G136</f>
        <v>0</v>
      </c>
      <c r="H137">
        <f t="shared" ca="1" si="18"/>
        <v>0</v>
      </c>
      <c r="I137" s="18">
        <f>I135+I136</f>
        <v>0</v>
      </c>
      <c r="J137" s="3">
        <f t="shared" ca="1" si="19"/>
        <v>0</v>
      </c>
    </row>
    <row r="138" spans="2:10" ht="15.75" x14ac:dyDescent="0.25">
      <c r="B138" s="8" t="s">
        <v>91</v>
      </c>
      <c r="C138">
        <f>SUM(EMP_1!C138+EMP_2!C138)</f>
        <v>0</v>
      </c>
      <c r="D138">
        <f t="shared" ca="1" si="16"/>
        <v>0</v>
      </c>
      <c r="E138">
        <f>SUM(EMP_1!E138+EMP_2!E138)</f>
        <v>0</v>
      </c>
      <c r="F138">
        <f t="shared" ca="1" si="17"/>
        <v>0</v>
      </c>
      <c r="G138">
        <f>SUM(EMP_1!G138+EMP_2!G138)</f>
        <v>0</v>
      </c>
      <c r="H138">
        <f t="shared" ca="1" si="18"/>
        <v>0</v>
      </c>
      <c r="I138">
        <f>SUM(EMP_1!I138+EMP_2!I138)</f>
        <v>0</v>
      </c>
      <c r="J138" s="3">
        <f t="shared" ca="1" si="19"/>
        <v>0</v>
      </c>
    </row>
    <row r="139" spans="2:10" ht="16.5" thickBot="1" x14ac:dyDescent="0.3">
      <c r="B139" s="20" t="s">
        <v>92</v>
      </c>
      <c r="C139" s="21">
        <f>C137+C138</f>
        <v>0</v>
      </c>
      <c r="D139" s="15">
        <f t="shared" ca="1" si="16"/>
        <v>0</v>
      </c>
      <c r="E139" s="21">
        <f>E137+E138</f>
        <v>0</v>
      </c>
      <c r="F139" s="15">
        <f t="shared" ca="1" si="17"/>
        <v>0</v>
      </c>
      <c r="G139" s="21">
        <f>G137+G138</f>
        <v>0</v>
      </c>
      <c r="H139" s="15">
        <f t="shared" ca="1" si="18"/>
        <v>0</v>
      </c>
      <c r="I139" s="21">
        <f>I137+I138</f>
        <v>0</v>
      </c>
      <c r="J139" s="22">
        <f t="shared" ca="1" si="19"/>
        <v>0</v>
      </c>
    </row>
    <row r="142" spans="2:10" ht="15.75" thickBot="1" x14ac:dyDescent="0.3"/>
    <row r="143" spans="2:10" ht="15.75" thickBot="1" x14ac:dyDescent="0.3">
      <c r="B143" s="64" t="s">
        <v>98</v>
      </c>
      <c r="C143" s="65"/>
      <c r="D143" s="65"/>
      <c r="E143" s="65"/>
      <c r="F143" s="65"/>
      <c r="G143" s="65"/>
      <c r="H143" s="65"/>
      <c r="I143" s="65"/>
      <c r="J143" s="66"/>
    </row>
    <row r="144" spans="2:10" x14ac:dyDescent="0.25">
      <c r="B144" s="33"/>
      <c r="J144" s="34"/>
    </row>
    <row r="145" spans="2:10" x14ac:dyDescent="0.25">
      <c r="B145" s="45" t="s">
        <v>99</v>
      </c>
      <c r="C145" s="46">
        <f>C148-C149</f>
        <v>0</v>
      </c>
      <c r="D145" s="46"/>
      <c r="E145" s="46">
        <f>E148-E149</f>
        <v>0</v>
      </c>
      <c r="F145" s="46"/>
      <c r="G145" s="46">
        <f>G148-G149</f>
        <v>0</v>
      </c>
      <c r="H145" s="46"/>
      <c r="I145" s="46">
        <f>I148-I149</f>
        <v>0</v>
      </c>
      <c r="J145" s="47"/>
    </row>
    <row r="146" spans="2:10" x14ac:dyDescent="0.25">
      <c r="B146" s="35" t="s">
        <v>100</v>
      </c>
      <c r="C146">
        <f>C54</f>
        <v>0</v>
      </c>
      <c r="E146">
        <f>E54</f>
        <v>0</v>
      </c>
      <c r="G146">
        <f>G54</f>
        <v>0</v>
      </c>
      <c r="I146">
        <f>I54</f>
        <v>0</v>
      </c>
      <c r="J146" s="34"/>
    </row>
    <row r="147" spans="2:10" x14ac:dyDescent="0.25">
      <c r="B147" s="35" t="s">
        <v>101</v>
      </c>
      <c r="C147">
        <f>C80</f>
        <v>0</v>
      </c>
      <c r="E147">
        <f>E80</f>
        <v>0</v>
      </c>
      <c r="G147">
        <f>G80</f>
        <v>0</v>
      </c>
      <c r="I147">
        <f>I80</f>
        <v>0</v>
      </c>
      <c r="J147" s="34"/>
    </row>
    <row r="148" spans="2:10" x14ac:dyDescent="0.25">
      <c r="B148" s="35" t="s">
        <v>102</v>
      </c>
      <c r="C148">
        <f>SUM(C146:C147)</f>
        <v>0</v>
      </c>
      <c r="E148">
        <f>SUM(E146:E147)</f>
        <v>0</v>
      </c>
      <c r="G148">
        <f>SUM(G146:G147)</f>
        <v>0</v>
      </c>
      <c r="I148">
        <f>SUM(I146:I147)</f>
        <v>0</v>
      </c>
      <c r="J148" s="34"/>
    </row>
    <row r="149" spans="2:10" x14ac:dyDescent="0.25">
      <c r="B149" s="45" t="s">
        <v>104</v>
      </c>
      <c r="C149" s="46">
        <f>SUM(C12:C13)</f>
        <v>0</v>
      </c>
      <c r="D149" s="46"/>
      <c r="E149" s="46">
        <f>SUM(E12:E13)</f>
        <v>0</v>
      </c>
      <c r="F149" s="46"/>
      <c r="G149" s="46">
        <f>SUM(G12:G13)</f>
        <v>0</v>
      </c>
      <c r="H149" s="46"/>
      <c r="I149" s="46">
        <f>SUM(I12:I13)</f>
        <v>0</v>
      </c>
      <c r="J149" s="47"/>
    </row>
    <row r="150" spans="2:10" x14ac:dyDescent="0.25">
      <c r="B150" s="35" t="s">
        <v>105</v>
      </c>
      <c r="C150">
        <f>C11-C51</f>
        <v>0</v>
      </c>
      <c r="E150">
        <f>E11-E51</f>
        <v>0</v>
      </c>
      <c r="G150">
        <f>G11-G51</f>
        <v>0</v>
      </c>
      <c r="I150">
        <f>I11-I51</f>
        <v>0</v>
      </c>
      <c r="J150" s="34"/>
    </row>
    <row r="151" spans="2:10" x14ac:dyDescent="0.25">
      <c r="B151" s="35" t="s">
        <v>106</v>
      </c>
      <c r="C151">
        <f>SUM(C101+C99)-C42</f>
        <v>0</v>
      </c>
      <c r="E151">
        <f>SUM(E101+E99)-E42</f>
        <v>0</v>
      </c>
      <c r="G151">
        <f>SUM(G101+G99)-G42</f>
        <v>0</v>
      </c>
      <c r="I151">
        <f>SUM(I101+I99)-I42</f>
        <v>0</v>
      </c>
      <c r="J151" s="34"/>
    </row>
    <row r="152" spans="2:10" ht="15.75" thickBot="1" x14ac:dyDescent="0.3">
      <c r="B152" s="33"/>
      <c r="J152" s="34"/>
    </row>
    <row r="153" spans="2:10" ht="15.75" thickBot="1" x14ac:dyDescent="0.3">
      <c r="B153" s="64" t="s">
        <v>107</v>
      </c>
      <c r="C153" s="65"/>
      <c r="D153" s="65"/>
      <c r="E153" s="65"/>
      <c r="F153" s="65"/>
      <c r="G153" s="65"/>
      <c r="H153" s="65"/>
      <c r="I153" s="65"/>
      <c r="J153" s="66"/>
    </row>
    <row r="154" spans="2:10" x14ac:dyDescent="0.25">
      <c r="B154" s="33"/>
      <c r="J154" s="34"/>
    </row>
    <row r="155" spans="2:10" x14ac:dyDescent="0.25">
      <c r="B155" s="35" t="s">
        <v>108</v>
      </c>
      <c r="J155" s="34"/>
    </row>
    <row r="156" spans="2:10" x14ac:dyDescent="0.25">
      <c r="B156" s="33" t="s">
        <v>109</v>
      </c>
      <c r="C156">
        <f>IF(C108=0,0,(C124+C129)/C108*12)</f>
        <v>0</v>
      </c>
      <c r="E156">
        <f>IF(E108=0,0,(E124+E129)/E108*12)</f>
        <v>0</v>
      </c>
      <c r="G156">
        <f>IF(G108=0,0,(G124+G129)/G108*12)</f>
        <v>0</v>
      </c>
      <c r="I156">
        <f>IF(I108=0,0,(I124+I129)/I108*12)</f>
        <v>0</v>
      </c>
      <c r="J156" s="34"/>
    </row>
    <row r="157" spans="2:10" x14ac:dyDescent="0.25">
      <c r="B157" s="33" t="s">
        <v>110</v>
      </c>
      <c r="C157">
        <f>IF(C108=0,0,(C115+C116+C123)/12*C108+C156)</f>
        <v>0</v>
      </c>
      <c r="E157">
        <f>IF(E108=0,0,(E115+E116+E123)/12*E108+E156)</f>
        <v>0</v>
      </c>
      <c r="G157">
        <f>IF(G108=0,0,(G115+G116+G123)/12*G108+G156)</f>
        <v>0</v>
      </c>
      <c r="I157">
        <f>IF(I108=0,0,(I115+I116+I123)/12*I108+I156)</f>
        <v>0</v>
      </c>
      <c r="J157" s="34"/>
    </row>
    <row r="158" spans="2:10" x14ac:dyDescent="0.25">
      <c r="B158" s="33" t="s">
        <v>111</v>
      </c>
      <c r="C158">
        <f>IF(C163=0,0,IF(C108=0,"-",C157/(C163*12)))</f>
        <v>0</v>
      </c>
      <c r="E158">
        <f>IF(E163=0,0,IF(E108=0,"-",E157/(E163*12)))</f>
        <v>0</v>
      </c>
      <c r="G158">
        <f>IF(G163=0,0,IF(G108=0,"-",G157/(G163*12)))</f>
        <v>0</v>
      </c>
      <c r="I158">
        <f>IF(I163=0,0,IF(I108=0,"-",I157/(I163*12)))</f>
        <v>0</v>
      </c>
      <c r="J158" s="34"/>
    </row>
    <row r="159" spans="2:10" x14ac:dyDescent="0.25">
      <c r="B159" s="33" t="s">
        <v>112</v>
      </c>
      <c r="C159" s="36" t="str">
        <f>IF(C108=0,"N/A",IF(C125&lt;=0,"N/A",(C115+C124+C129)/C125))</f>
        <v>N/A</v>
      </c>
      <c r="D159" s="36"/>
      <c r="E159" s="36" t="str">
        <f>IF(E108=0,"N/A",IF(E125&lt;=0,"N/A",(E115+E124+E129)/E125))</f>
        <v>N/A</v>
      </c>
      <c r="F159" s="36"/>
      <c r="G159" s="36" t="str">
        <f>IF(G108=0,"N/A",IF(G125&lt;=0,"N/A",(G115+G124+G129)/G125))</f>
        <v>N/A</v>
      </c>
      <c r="H159" s="36"/>
      <c r="I159" s="36" t="str">
        <f>IF(I108=0,"N/A",IF(I125&lt;=0,"N/A",(I115+I124+I129)/I125))</f>
        <v>N/A</v>
      </c>
      <c r="J159" s="34"/>
    </row>
    <row r="160" spans="2:10" ht="15.75" thickBot="1" x14ac:dyDescent="0.3">
      <c r="B160" s="43" t="s">
        <v>113</v>
      </c>
      <c r="C160" s="44" t="str">
        <f>IF(C108=0,0,IF(C145&lt;0,"Aplicador",IF(C157&lt;=0,"N/A",C145/C157)))</f>
        <v>N/A</v>
      </c>
      <c r="D160" s="41"/>
      <c r="E160" s="44" t="str">
        <f>IF(E108=0,0,IF(E145&lt;0,"Aplicador",IF(E157&lt;=0,"N/A",E145/E157)))</f>
        <v>N/A</v>
      </c>
      <c r="F160" s="41"/>
      <c r="G160" s="44" t="str">
        <f>IF(G108=0,0,IF(G145&lt;0,"Aplicador",IF(G157&lt;=0,"N/A",G145/G157)))</f>
        <v>N/A</v>
      </c>
      <c r="H160" s="41"/>
      <c r="I160" s="44" t="str">
        <f>IF(I108=0,0,IF(I145&lt;0,"Aplicador",IF(I157&lt;=0,"N/A",I145/I157)))</f>
        <v>N/A</v>
      </c>
      <c r="J160" s="42"/>
    </row>
    <row r="161" spans="2:10" x14ac:dyDescent="0.25">
      <c r="B161" s="33"/>
      <c r="J161" s="34"/>
    </row>
    <row r="162" spans="2:10" x14ac:dyDescent="0.25">
      <c r="B162" s="35" t="s">
        <v>114</v>
      </c>
      <c r="J162" s="34"/>
    </row>
    <row r="163" spans="2:10" ht="15.75" x14ac:dyDescent="0.25">
      <c r="B163" s="37" t="s">
        <v>115</v>
      </c>
      <c r="C163">
        <f>C113/C108</f>
        <v>0</v>
      </c>
      <c r="E163">
        <f>E113/E108</f>
        <v>0</v>
      </c>
      <c r="G163">
        <f>G113/G108</f>
        <v>0</v>
      </c>
      <c r="I163">
        <f>I113/I108</f>
        <v>0</v>
      </c>
      <c r="J163" s="34"/>
    </row>
    <row r="164" spans="2:10" ht="15.75" x14ac:dyDescent="0.25">
      <c r="B164" s="38" t="s">
        <v>116</v>
      </c>
      <c r="J164" s="34"/>
    </row>
    <row r="165" spans="2:10" ht="15.75" x14ac:dyDescent="0.25">
      <c r="B165" s="39" t="s">
        <v>117</v>
      </c>
      <c r="C165" t="e">
        <f>(C17+C18)/(C118/C108)*30</f>
        <v>#DIV/0!</v>
      </c>
      <c r="E165" t="e">
        <f>(E17+E18)/(E118/E108)*30</f>
        <v>#DIV/0!</v>
      </c>
      <c r="G165" t="e">
        <f>(G17+G18)/(G118/G108)*30</f>
        <v>#DIV/0!</v>
      </c>
      <c r="I165" t="e">
        <f>(I17+I18)/(I118/I108)*30</f>
        <v>#DIV/0!</v>
      </c>
      <c r="J165" s="34"/>
    </row>
    <row r="166" spans="2:10" ht="15.75" x14ac:dyDescent="0.25">
      <c r="B166" s="39" t="s">
        <v>118</v>
      </c>
      <c r="C166" t="e">
        <f>(C14+C15+C16)/(C111/C108)*30</f>
        <v>#DIV/0!</v>
      </c>
      <c r="E166" t="e">
        <f>(E14+E15+E16)/(E111/E108)*30</f>
        <v>#DIV/0!</v>
      </c>
      <c r="G166" t="e">
        <f>(G14+G15+G16)/(G111/G108)*30</f>
        <v>#DIV/0!</v>
      </c>
      <c r="I166" t="e">
        <f>(I14+I15+I16)/(I111/I108)*30</f>
        <v>#DIV/0!</v>
      </c>
      <c r="J166" s="34"/>
    </row>
    <row r="167" spans="2:10" ht="15.75" x14ac:dyDescent="0.25">
      <c r="B167" s="39" t="s">
        <v>119</v>
      </c>
      <c r="C167" t="e">
        <f>(C52+C53)/((C17+C18)-C118)/C108*30</f>
        <v>#DIV/0!</v>
      </c>
      <c r="E167" t="e">
        <f>(E52+E53)/((E17+E18)-E118)/E108*30</f>
        <v>#DIV/0!</v>
      </c>
      <c r="G167" t="e">
        <f>(G52+G53)/((G17+G18)-G118)/G108*30</f>
        <v>#DIV/0!</v>
      </c>
      <c r="I167" t="e">
        <f>(I52+I53)/((I17+I18)-I118)/I108*30</f>
        <v>#DIV/0!</v>
      </c>
      <c r="J167" s="34"/>
    </row>
    <row r="168" spans="2:10" ht="16.5" thickBot="1" x14ac:dyDescent="0.3">
      <c r="B168" s="40" t="s">
        <v>120</v>
      </c>
      <c r="C168" s="41" t="e">
        <f>C165+C166-C167</f>
        <v>#DIV/0!</v>
      </c>
      <c r="D168" s="41"/>
      <c r="E168" s="41" t="e">
        <f>E165+E166-E167</f>
        <v>#DIV/0!</v>
      </c>
      <c r="F168" s="41"/>
      <c r="G168" s="41" t="e">
        <f>G165+G166-G167</f>
        <v>#DIV/0!</v>
      </c>
      <c r="H168" s="41"/>
      <c r="I168" s="41" t="e">
        <f>I165+I166-I167</f>
        <v>#DIV/0!</v>
      </c>
      <c r="J168" s="42"/>
    </row>
  </sheetData>
  <mergeCells count="17">
    <mergeCell ref="B106:J106"/>
    <mergeCell ref="B143:J143"/>
    <mergeCell ref="B153:J153"/>
    <mergeCell ref="C3:D3"/>
    <mergeCell ref="E3:F3"/>
    <mergeCell ref="G3:H3"/>
    <mergeCell ref="I3:J3"/>
    <mergeCell ref="B5:J5"/>
    <mergeCell ref="B7:J7"/>
    <mergeCell ref="C1:D1"/>
    <mergeCell ref="E1:F1"/>
    <mergeCell ref="G1:H1"/>
    <mergeCell ref="I1:J1"/>
    <mergeCell ref="C2:D2"/>
    <mergeCell ref="E2:F2"/>
    <mergeCell ref="G2:H2"/>
    <mergeCell ref="I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8925-670F-48DC-B3C2-77B0C27D1D7A}">
  <dimension ref="A1:I24"/>
  <sheetViews>
    <sheetView workbookViewId="0">
      <selection activeCell="H13" sqref="H13"/>
    </sheetView>
  </sheetViews>
  <sheetFormatPr defaultRowHeight="15" x14ac:dyDescent="0.25"/>
  <cols>
    <col min="1" max="1" width="25" bestFit="1" customWidth="1"/>
  </cols>
  <sheetData>
    <row r="1" spans="1:9" x14ac:dyDescent="0.25">
      <c r="B1" s="51">
        <v>44896</v>
      </c>
      <c r="C1" s="52" t="s">
        <v>141</v>
      </c>
      <c r="D1" s="51">
        <v>45261</v>
      </c>
      <c r="E1" s="52" t="s">
        <v>141</v>
      </c>
      <c r="F1" s="51">
        <v>45627</v>
      </c>
      <c r="G1" s="52" t="s">
        <v>141</v>
      </c>
      <c r="H1" s="51">
        <v>45992</v>
      </c>
      <c r="I1" s="52" t="s">
        <v>141</v>
      </c>
    </row>
    <row r="2" spans="1:9" x14ac:dyDescent="0.25">
      <c r="A2" s="53" t="s">
        <v>121</v>
      </c>
      <c r="B2" s="48">
        <f>CONSOLIDADO!C111</f>
        <v>0</v>
      </c>
      <c r="C2" s="49" t="e">
        <f>B2/$B$2</f>
        <v>#DIV/0!</v>
      </c>
      <c r="D2" s="48">
        <f>CONSOLIDADO!E111</f>
        <v>0</v>
      </c>
      <c r="E2" s="49" t="e">
        <f>D2/$D$2</f>
        <v>#DIV/0!</v>
      </c>
      <c r="F2" s="48">
        <f>CONSOLIDADO!G111</f>
        <v>0</v>
      </c>
      <c r="G2" s="50" t="e">
        <f>F2/$F$2</f>
        <v>#DIV/0!</v>
      </c>
      <c r="H2" s="48">
        <f>CONSOLIDADO!I111</f>
        <v>0</v>
      </c>
      <c r="I2" s="49" t="e">
        <f>H2/$H$2</f>
        <v>#DIV/0!</v>
      </c>
    </row>
    <row r="3" spans="1:9" x14ac:dyDescent="0.25">
      <c r="A3" s="53" t="s">
        <v>122</v>
      </c>
      <c r="B3" s="48">
        <f>CONSOLIDADO!C113</f>
        <v>0</v>
      </c>
      <c r="C3" s="49" t="e">
        <f t="shared" ref="C3:C10" si="0">B3/$B$2</f>
        <v>#DIV/0!</v>
      </c>
      <c r="D3" s="48">
        <f>CONSOLIDADO!E113</f>
        <v>0</v>
      </c>
      <c r="E3" s="49" t="e">
        <f t="shared" ref="E3:E10" si="1">D3/$D$2</f>
        <v>#DIV/0!</v>
      </c>
      <c r="F3" s="48">
        <f>CONSOLIDADO!G113</f>
        <v>0</v>
      </c>
      <c r="G3" s="50" t="e">
        <f t="shared" ref="G3:G10" si="2">F3/$F$2</f>
        <v>#DIV/0!</v>
      </c>
      <c r="H3" s="48">
        <f>CONSOLIDADO!I113</f>
        <v>0</v>
      </c>
      <c r="I3" s="49" t="e">
        <f t="shared" ref="I3:I10" si="3">H3/$H$2</f>
        <v>#DIV/0!</v>
      </c>
    </row>
    <row r="4" spans="1:9" x14ac:dyDescent="0.25">
      <c r="A4" s="53" t="s">
        <v>123</v>
      </c>
      <c r="B4" s="48">
        <f>CONSOLIDADO!C119</f>
        <v>0</v>
      </c>
      <c r="C4" s="49" t="e">
        <f t="shared" si="0"/>
        <v>#DIV/0!</v>
      </c>
      <c r="D4" s="48">
        <f>CONSOLIDADO!E119</f>
        <v>0</v>
      </c>
      <c r="E4" s="49" t="e">
        <f t="shared" si="1"/>
        <v>#DIV/0!</v>
      </c>
      <c r="F4" s="48">
        <f>CONSOLIDADO!G119</f>
        <v>0</v>
      </c>
      <c r="G4" s="50" t="e">
        <f t="shared" si="2"/>
        <v>#DIV/0!</v>
      </c>
      <c r="H4" s="48">
        <f>CONSOLIDADO!I119</f>
        <v>0</v>
      </c>
      <c r="I4" s="49" t="e">
        <f t="shared" si="3"/>
        <v>#DIV/0!</v>
      </c>
    </row>
    <row r="5" spans="1:9" x14ac:dyDescent="0.25">
      <c r="A5" s="53" t="s">
        <v>124</v>
      </c>
      <c r="B5" s="48">
        <f>CONSOLIDADO!C124</f>
        <v>0</v>
      </c>
      <c r="C5" s="49" t="e">
        <f t="shared" si="0"/>
        <v>#DIV/0!</v>
      </c>
      <c r="D5" s="48">
        <f>CONSOLIDADO!E124</f>
        <v>0</v>
      </c>
      <c r="E5" s="49" t="e">
        <f t="shared" si="1"/>
        <v>#DIV/0!</v>
      </c>
      <c r="F5" s="48">
        <f>CONSOLIDADO!G124</f>
        <v>0</v>
      </c>
      <c r="G5" s="50" t="e">
        <f t="shared" si="2"/>
        <v>#DIV/0!</v>
      </c>
      <c r="H5" s="48">
        <f>CONSOLIDADO!I124</f>
        <v>0</v>
      </c>
      <c r="I5" s="49" t="e">
        <f t="shared" si="3"/>
        <v>#DIV/0!</v>
      </c>
    </row>
    <row r="6" spans="1:9" x14ac:dyDescent="0.25">
      <c r="A6" s="53" t="s">
        <v>125</v>
      </c>
      <c r="B6" s="48">
        <f>CONSOLIDADO!C139</f>
        <v>0</v>
      </c>
      <c r="C6" s="49" t="e">
        <f t="shared" si="0"/>
        <v>#DIV/0!</v>
      </c>
      <c r="D6" s="48">
        <f>CONSOLIDADO!E139</f>
        <v>0</v>
      </c>
      <c r="E6" s="49" t="e">
        <f t="shared" si="1"/>
        <v>#DIV/0!</v>
      </c>
      <c r="F6" s="48">
        <f>CONSOLIDADO!G139</f>
        <v>0</v>
      </c>
      <c r="G6" s="50" t="e">
        <f t="shared" si="2"/>
        <v>#DIV/0!</v>
      </c>
      <c r="H6" s="48">
        <f>CONSOLIDADO!I139</f>
        <v>0</v>
      </c>
      <c r="I6" s="49" t="e">
        <f t="shared" si="3"/>
        <v>#DIV/0!</v>
      </c>
    </row>
    <row r="7" spans="1:9" x14ac:dyDescent="0.25">
      <c r="A7" s="53" t="s">
        <v>126</v>
      </c>
      <c r="B7" s="48">
        <f>CONSOLIDADO!C125</f>
        <v>0</v>
      </c>
      <c r="C7" s="49" t="e">
        <f t="shared" si="0"/>
        <v>#DIV/0!</v>
      </c>
      <c r="D7" s="48">
        <f>CONSOLIDADO!E125</f>
        <v>0</v>
      </c>
      <c r="E7" s="49" t="e">
        <f t="shared" si="1"/>
        <v>#DIV/0!</v>
      </c>
      <c r="F7" s="48">
        <f>CONSOLIDADO!G125</f>
        <v>0</v>
      </c>
      <c r="G7" s="50" t="e">
        <f t="shared" si="2"/>
        <v>#DIV/0!</v>
      </c>
      <c r="H7" s="48">
        <f>CONSOLIDADO!I125</f>
        <v>0</v>
      </c>
      <c r="I7" s="49" t="e">
        <f t="shared" si="3"/>
        <v>#DIV/0!</v>
      </c>
    </row>
    <row r="8" spans="1:9" x14ac:dyDescent="0.25">
      <c r="A8" s="53" t="s">
        <v>127</v>
      </c>
      <c r="B8" s="48">
        <f>CONSOLIDADO!C130</f>
        <v>0</v>
      </c>
      <c r="C8" s="49" t="e">
        <f t="shared" si="0"/>
        <v>#DIV/0!</v>
      </c>
      <c r="D8" s="48">
        <f>CONSOLIDADO!E130</f>
        <v>0</v>
      </c>
      <c r="E8" s="49" t="e">
        <f t="shared" si="1"/>
        <v>#DIV/0!</v>
      </c>
      <c r="F8" s="48">
        <f>CONSOLIDADO!G130</f>
        <v>0</v>
      </c>
      <c r="G8" s="50" t="e">
        <f t="shared" si="2"/>
        <v>#DIV/0!</v>
      </c>
      <c r="H8" s="48">
        <f>CONSOLIDADO!I130</f>
        <v>0</v>
      </c>
      <c r="I8" s="49" t="e">
        <f t="shared" si="3"/>
        <v>#DIV/0!</v>
      </c>
    </row>
    <row r="9" spans="1:9" x14ac:dyDescent="0.25">
      <c r="A9" s="53" t="s">
        <v>128</v>
      </c>
      <c r="B9" s="48">
        <f>CONSOLIDADO!C157</f>
        <v>0</v>
      </c>
      <c r="C9" s="49" t="e">
        <f t="shared" si="0"/>
        <v>#DIV/0!</v>
      </c>
      <c r="D9" s="48">
        <f>CONSOLIDADO!E157</f>
        <v>0</v>
      </c>
      <c r="E9" s="49" t="e">
        <f t="shared" si="1"/>
        <v>#DIV/0!</v>
      </c>
      <c r="F9" s="48">
        <f>CONSOLIDADO!G157</f>
        <v>0</v>
      </c>
      <c r="G9" s="50" t="e">
        <f t="shared" si="2"/>
        <v>#DIV/0!</v>
      </c>
      <c r="H9" s="48">
        <f>CONSOLIDADO!I157</f>
        <v>0</v>
      </c>
      <c r="I9" s="49" t="e">
        <f t="shared" si="3"/>
        <v>#DIV/0!</v>
      </c>
    </row>
    <row r="10" spans="1:9" x14ac:dyDescent="0.25">
      <c r="A10" s="53" t="s">
        <v>129</v>
      </c>
      <c r="B10" s="48">
        <f>CONSOLIDADO!C157-CONSOLIDADO!C125</f>
        <v>0</v>
      </c>
      <c r="C10" s="49" t="e">
        <f t="shared" si="0"/>
        <v>#DIV/0!</v>
      </c>
      <c r="D10" s="48">
        <f>CONSOLIDADO!E157-CONSOLIDADO!E125</f>
        <v>0</v>
      </c>
      <c r="E10" s="49" t="e">
        <f t="shared" si="1"/>
        <v>#DIV/0!</v>
      </c>
      <c r="F10" s="48">
        <f>CONSOLIDADO!G157-CONSOLIDADO!G125</f>
        <v>0</v>
      </c>
      <c r="G10" s="50" t="e">
        <f t="shared" si="2"/>
        <v>#DIV/0!</v>
      </c>
      <c r="H10" s="48">
        <f>CONSOLIDADO!I157-CONSOLIDADO!I125</f>
        <v>0</v>
      </c>
      <c r="I10" s="49" t="e">
        <f t="shared" si="3"/>
        <v>#DIV/0!</v>
      </c>
    </row>
    <row r="12" spans="1:9" x14ac:dyDescent="0.25">
      <c r="B12" s="51">
        <v>44896</v>
      </c>
      <c r="C12" s="51">
        <v>45261</v>
      </c>
      <c r="D12" s="54" t="s">
        <v>142</v>
      </c>
      <c r="E12" s="51">
        <v>45627</v>
      </c>
      <c r="F12" s="54" t="s">
        <v>142</v>
      </c>
      <c r="G12" s="51">
        <v>45992</v>
      </c>
      <c r="H12" s="54" t="s">
        <v>142</v>
      </c>
    </row>
    <row r="13" spans="1:9" x14ac:dyDescent="0.25">
      <c r="A13" s="54" t="s">
        <v>130</v>
      </c>
      <c r="B13" s="48">
        <f>CONSOLIDADO!C14</f>
        <v>0</v>
      </c>
      <c r="C13" s="48">
        <f>CONSOLIDADO!E14</f>
        <v>0</v>
      </c>
      <c r="D13" s="55" t="e">
        <f>C13/B13-1</f>
        <v>#DIV/0!</v>
      </c>
      <c r="E13" s="48">
        <f>CONSOLIDADO!G14</f>
        <v>0</v>
      </c>
      <c r="F13" s="55" t="e">
        <f>E13/C13-1</f>
        <v>#DIV/0!</v>
      </c>
      <c r="G13" s="48">
        <f>CONSOLIDADO!I14</f>
        <v>0</v>
      </c>
      <c r="H13" s="55" t="e">
        <f>G13/E13-1</f>
        <v>#DIV/0!</v>
      </c>
    </row>
    <row r="14" spans="1:9" x14ac:dyDescent="0.25">
      <c r="A14" s="54" t="s">
        <v>131</v>
      </c>
      <c r="B14" s="48">
        <f>CONSOLIDADO!C17</f>
        <v>0</v>
      </c>
      <c r="C14" s="48">
        <f>CONSOLIDADO!E17</f>
        <v>0</v>
      </c>
      <c r="D14" s="55" t="e">
        <f t="shared" ref="D14:D23" si="4">C14/B14-1</f>
        <v>#DIV/0!</v>
      </c>
      <c r="E14" s="48">
        <f>CONSOLIDADO!G17</f>
        <v>0</v>
      </c>
      <c r="F14" s="55" t="e">
        <f t="shared" ref="F14:H23" si="5">E14/C14-1</f>
        <v>#DIV/0!</v>
      </c>
      <c r="G14" s="48">
        <f>CONSOLIDADO!I17</f>
        <v>0</v>
      </c>
      <c r="H14" s="55" t="e">
        <f t="shared" si="5"/>
        <v>#DIV/0!</v>
      </c>
    </row>
    <row r="15" spans="1:9" x14ac:dyDescent="0.25">
      <c r="A15" s="54" t="s">
        <v>132</v>
      </c>
      <c r="B15" s="48">
        <f>CONSOLIDADO!C43</f>
        <v>0</v>
      </c>
      <c r="C15" s="48">
        <f>CONSOLIDADO!E43</f>
        <v>0</v>
      </c>
      <c r="D15" s="55" t="e">
        <f t="shared" si="4"/>
        <v>#DIV/0!</v>
      </c>
      <c r="E15" s="48">
        <f>CONSOLIDADO!G43</f>
        <v>0</v>
      </c>
      <c r="F15" s="55" t="e">
        <f t="shared" si="5"/>
        <v>#DIV/0!</v>
      </c>
      <c r="G15" s="48">
        <f>CONSOLIDADO!I43</f>
        <v>0</v>
      </c>
      <c r="H15" s="55" t="e">
        <f t="shared" si="5"/>
        <v>#DIV/0!</v>
      </c>
    </row>
    <row r="16" spans="1:9" x14ac:dyDescent="0.25">
      <c r="A16" s="54" t="s">
        <v>133</v>
      </c>
      <c r="B16" s="48">
        <f>CONSOLIDADO!C52+CONSOLIDADO!C53</f>
        <v>0</v>
      </c>
      <c r="C16" s="48">
        <f>CONSOLIDADO!E52+CONSOLIDADO!E53</f>
        <v>0</v>
      </c>
      <c r="D16" s="55" t="e">
        <f t="shared" si="4"/>
        <v>#DIV/0!</v>
      </c>
      <c r="E16" s="48">
        <f>CONSOLIDADO!G52+CONSOLIDADO!G53</f>
        <v>0</v>
      </c>
      <c r="F16" s="55" t="e">
        <f t="shared" si="5"/>
        <v>#DIV/0!</v>
      </c>
      <c r="G16" s="48">
        <f>CONSOLIDADO!I52+CONSOLIDADO!I53</f>
        <v>0</v>
      </c>
      <c r="H16" s="55" t="e">
        <f t="shared" si="5"/>
        <v>#DIV/0!</v>
      </c>
    </row>
    <row r="17" spans="1:8" x14ac:dyDescent="0.25">
      <c r="A17" s="54" t="s">
        <v>103</v>
      </c>
      <c r="B17" s="48">
        <f>CONSOLIDADO!C12+CONSOLIDADO!C13</f>
        <v>0</v>
      </c>
      <c r="C17" s="48">
        <f>CONSOLIDADO!E12+CONSOLIDADO!E13</f>
        <v>0</v>
      </c>
      <c r="D17" s="55" t="e">
        <f t="shared" si="4"/>
        <v>#DIV/0!</v>
      </c>
      <c r="E17" s="48">
        <f>CONSOLIDADO!G12+CONSOLIDADO!G13</f>
        <v>0</v>
      </c>
      <c r="F17" s="55" t="e">
        <f t="shared" si="5"/>
        <v>#DIV/0!</v>
      </c>
      <c r="G17" s="48">
        <f>CONSOLIDADO!I12+CONSOLIDADO!I13</f>
        <v>0</v>
      </c>
      <c r="H17" s="55" t="e">
        <f t="shared" si="5"/>
        <v>#DIV/0!</v>
      </c>
    </row>
    <row r="18" spans="1:8" x14ac:dyDescent="0.25">
      <c r="A18" s="54" t="s">
        <v>134</v>
      </c>
      <c r="B18" s="48">
        <f>CONSOLIDADO!C148</f>
        <v>0</v>
      </c>
      <c r="C18" s="48">
        <f>CONSOLIDADO!E148</f>
        <v>0</v>
      </c>
      <c r="D18" s="55" t="e">
        <f t="shared" si="4"/>
        <v>#DIV/0!</v>
      </c>
      <c r="E18" s="48">
        <f>CONSOLIDADO!G148</f>
        <v>0</v>
      </c>
      <c r="F18" s="55" t="e">
        <f t="shared" si="5"/>
        <v>#DIV/0!</v>
      </c>
      <c r="G18" s="48">
        <f>CONSOLIDADO!I148</f>
        <v>0</v>
      </c>
      <c r="H18" s="55" t="e">
        <f t="shared" si="5"/>
        <v>#DIV/0!</v>
      </c>
    </row>
    <row r="19" spans="1:8" x14ac:dyDescent="0.25">
      <c r="A19" s="54" t="s">
        <v>135</v>
      </c>
      <c r="B19" s="48">
        <f>CONSOLIDADO!C146</f>
        <v>0</v>
      </c>
      <c r="C19" s="48">
        <f>CONSOLIDADO!E146</f>
        <v>0</v>
      </c>
      <c r="D19" s="55" t="e">
        <f t="shared" si="4"/>
        <v>#DIV/0!</v>
      </c>
      <c r="E19" s="48">
        <f>CONSOLIDADO!G146</f>
        <v>0</v>
      </c>
      <c r="F19" s="55" t="e">
        <f t="shared" si="5"/>
        <v>#DIV/0!</v>
      </c>
      <c r="G19" s="48">
        <f>CONSOLIDADO!I146</f>
        <v>0</v>
      </c>
      <c r="H19" s="55" t="e">
        <f t="shared" si="5"/>
        <v>#DIV/0!</v>
      </c>
    </row>
    <row r="20" spans="1:8" x14ac:dyDescent="0.25">
      <c r="A20" s="54" t="s">
        <v>136</v>
      </c>
      <c r="B20" s="48">
        <f>CONSOLIDADO!C147</f>
        <v>0</v>
      </c>
      <c r="C20" s="48">
        <f>CONSOLIDADO!E147</f>
        <v>0</v>
      </c>
      <c r="D20" s="55" t="e">
        <f t="shared" si="4"/>
        <v>#DIV/0!</v>
      </c>
      <c r="E20" s="48">
        <f>CONSOLIDADO!G147</f>
        <v>0</v>
      </c>
      <c r="F20" s="55" t="e">
        <f t="shared" si="5"/>
        <v>#DIV/0!</v>
      </c>
      <c r="G20" s="48">
        <f>CONSOLIDADO!I147</f>
        <v>0</v>
      </c>
      <c r="H20" s="55" t="e">
        <f t="shared" si="5"/>
        <v>#DIV/0!</v>
      </c>
    </row>
    <row r="21" spans="1:8" x14ac:dyDescent="0.25">
      <c r="A21" s="54" t="s">
        <v>137</v>
      </c>
      <c r="B21" s="48">
        <f>CONSOLIDADO!C145</f>
        <v>0</v>
      </c>
      <c r="C21" s="48">
        <f>CONSOLIDADO!E145</f>
        <v>0</v>
      </c>
      <c r="D21" s="55" t="e">
        <f t="shared" si="4"/>
        <v>#DIV/0!</v>
      </c>
      <c r="E21" s="48">
        <f>CONSOLIDADO!G145</f>
        <v>0</v>
      </c>
      <c r="F21" s="55" t="e">
        <f t="shared" si="5"/>
        <v>#DIV/0!</v>
      </c>
      <c r="G21" s="48">
        <f>CONSOLIDADO!I145</f>
        <v>0</v>
      </c>
      <c r="H21" s="55" t="e">
        <f t="shared" si="5"/>
        <v>#DIV/0!</v>
      </c>
    </row>
    <row r="22" spans="1:8" x14ac:dyDescent="0.25">
      <c r="A22" s="54" t="s">
        <v>138</v>
      </c>
      <c r="B22" s="48">
        <f>CONSOLIDADO!C11</f>
        <v>0</v>
      </c>
      <c r="C22" s="48">
        <f>CONSOLIDADO!E11</f>
        <v>0</v>
      </c>
      <c r="D22" s="55" t="e">
        <f t="shared" si="4"/>
        <v>#DIV/0!</v>
      </c>
      <c r="E22" s="48">
        <f>CONSOLIDADO!G11</f>
        <v>0</v>
      </c>
      <c r="F22" s="55" t="e">
        <f t="shared" si="5"/>
        <v>#DIV/0!</v>
      </c>
      <c r="G22" s="48">
        <f>CONSOLIDADO!I11</f>
        <v>0</v>
      </c>
      <c r="H22" s="55" t="e">
        <f t="shared" si="5"/>
        <v>#DIV/0!</v>
      </c>
    </row>
    <row r="23" spans="1:8" x14ac:dyDescent="0.25">
      <c r="A23" s="54" t="s">
        <v>139</v>
      </c>
      <c r="B23" s="48">
        <f>CONSOLIDADO!C101</f>
        <v>0</v>
      </c>
      <c r="C23" s="48">
        <f>CONSOLIDADO!E101</f>
        <v>0</v>
      </c>
      <c r="D23" s="55" t="e">
        <f t="shared" si="4"/>
        <v>#DIV/0!</v>
      </c>
      <c r="E23" s="48">
        <f>CONSOLIDADO!G101</f>
        <v>0</v>
      </c>
      <c r="F23" s="55" t="e">
        <f t="shared" si="5"/>
        <v>#DIV/0!</v>
      </c>
      <c r="G23" s="48">
        <f>CONSOLIDADO!I101</f>
        <v>0</v>
      </c>
      <c r="H23" s="55" t="e">
        <f t="shared" si="5"/>
        <v>#DIV/0!</v>
      </c>
    </row>
    <row r="24" spans="1:8" x14ac:dyDescent="0.25">
      <c r="A24" s="54" t="s">
        <v>140</v>
      </c>
      <c r="B24" s="48" t="str">
        <f>CONSOLIDADO!C160</f>
        <v>N/A</v>
      </c>
      <c r="C24" s="48" t="str">
        <f>CONSOLIDADO!E160</f>
        <v>N/A</v>
      </c>
      <c r="D24" s="49"/>
      <c r="E24" s="48" t="str">
        <f>CONSOLIDADO!G160</f>
        <v>N/A</v>
      </c>
      <c r="F24" s="49"/>
      <c r="G24" s="48" t="str">
        <f>CONSOLIDADO!I160</f>
        <v>N/A</v>
      </c>
      <c r="H24" s="49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d3fed9c9-9e02-402c-91c6-79672c367b2e}" enabled="1" method="Standard" siteId="{ccd25372-eb59-436a-ad74-78a49d784c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EMP_1</vt:lpstr>
      <vt:lpstr>EMP_2</vt:lpstr>
      <vt:lpstr>CONSOLIDADO</vt:lpstr>
      <vt:lpstr>HIGHLIGHTS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AUGUSTO PONTES NUNES</dc:creator>
  <cp:lastModifiedBy>Guilherme Nunes</cp:lastModifiedBy>
  <dcterms:created xsi:type="dcterms:W3CDTF">2015-06-05T18:19:34Z</dcterms:created>
  <dcterms:modified xsi:type="dcterms:W3CDTF">2026-06-19T00:57:22Z</dcterms:modified>
</cp:coreProperties>
</file>